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leansparkinc.sharepoint.com/sites/WorksTeam/Shared Documents/07 Firmware/02 Bitmain Serial Decoder/"/>
    </mc:Choice>
  </mc:AlternateContent>
  <xr:revisionPtr revIDLastSave="7" documentId="8_{F1ED4394-2263-4F49-975B-A6D32DA961A6}" xr6:coauthVersionLast="47" xr6:coauthVersionMax="47" xr10:uidLastSave="{9782FA43-FBA8-4702-99CF-0A2597225CC4}"/>
  <bookViews>
    <workbookView xWindow="28680" yWindow="-120" windowWidth="29040" windowHeight="15720" activeTab="2" xr2:uid="{75321BB8-0C5C-4A4E-A997-5FDF4C0EF492}"/>
  </bookViews>
  <sheets>
    <sheet name="Full Chart" sheetId="1" r:id="rId1"/>
    <sheet name="Mass Import Sheet" sheetId="3" r:id="rId2"/>
    <sheet name="Methodology" sheetId="2" r:id="rId3"/>
  </sheets>
  <definedNames>
    <definedName name="_xlnm._FilterDatabase" localSheetId="0" hidden="1">'Full Chart'!$A$1:$AL$139</definedName>
    <definedName name="_xlnm._FilterDatabase" localSheetId="1" hidden="1">'Mass Import Sheet'!$A$1:$L$5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1" l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91" i="1"/>
  <c r="AJ92" i="1"/>
  <c r="AJ93" i="1"/>
  <c r="AJ94" i="1"/>
  <c r="AJ95" i="1"/>
  <c r="AJ96" i="1"/>
  <c r="AJ97" i="1"/>
  <c r="AJ98" i="1"/>
  <c r="AJ99" i="1"/>
  <c r="AJ100" i="1"/>
  <c r="AJ103" i="1"/>
  <c r="AJ104" i="1"/>
  <c r="AJ105" i="1"/>
  <c r="AJ108" i="1"/>
  <c r="AJ111" i="1"/>
  <c r="AJ112" i="1"/>
  <c r="AJ113" i="1"/>
  <c r="AJ118" i="1"/>
  <c r="AJ119" i="1"/>
  <c r="AJ120" i="1"/>
  <c r="AJ121" i="1"/>
  <c r="AJ122" i="1"/>
  <c r="AJ123" i="1"/>
  <c r="AJ124" i="1"/>
  <c r="AJ125" i="1"/>
  <c r="AJ131" i="1"/>
  <c r="AJ127" i="1"/>
  <c r="AJ128" i="1"/>
  <c r="AJ129" i="1"/>
  <c r="AJ139" i="1"/>
  <c r="AJ126" i="1"/>
  <c r="AJ3" i="1"/>
  <c r="AJ2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3" i="1"/>
  <c r="AI104" i="1"/>
  <c r="AI105" i="1"/>
  <c r="AI108" i="1"/>
  <c r="AI111" i="1"/>
  <c r="AI112" i="1"/>
  <c r="AI113" i="1"/>
  <c r="AI118" i="1"/>
  <c r="AI119" i="1"/>
  <c r="AI120" i="1"/>
  <c r="AI121" i="1"/>
  <c r="AI122" i="1"/>
  <c r="AI123" i="1"/>
  <c r="AI124" i="1"/>
  <c r="AI125" i="1"/>
  <c r="AI131" i="1"/>
  <c r="AI127" i="1"/>
  <c r="AI128" i="1"/>
  <c r="AI129" i="1"/>
  <c r="AI139" i="1"/>
  <c r="AI126" i="1"/>
  <c r="AI3" i="1"/>
  <c r="AI4" i="1"/>
  <c r="AI5" i="1"/>
  <c r="AI6" i="1"/>
  <c r="AI2" i="1"/>
  <c r="Q121" i="1"/>
  <c r="J121" i="1"/>
  <c r="Q129" i="1"/>
  <c r="J129" i="1"/>
  <c r="D129" i="1"/>
  <c r="Q128" i="1"/>
  <c r="J128" i="1"/>
  <c r="D128" i="1"/>
  <c r="Q127" i="1"/>
  <c r="J127" i="1"/>
  <c r="D127" i="1"/>
  <c r="Q125" i="1"/>
  <c r="J125" i="1"/>
  <c r="D125" i="1"/>
  <c r="Q124" i="1"/>
  <c r="J124" i="1"/>
  <c r="D124" i="1"/>
  <c r="Q123" i="1"/>
  <c r="J123" i="1"/>
  <c r="D123" i="1"/>
  <c r="B4" i="3"/>
  <c r="C4" i="3"/>
  <c r="D4" i="3"/>
  <c r="E4" i="3"/>
  <c r="H4" i="3"/>
  <c r="I4" i="3"/>
  <c r="J4" i="3"/>
  <c r="K4" i="3"/>
  <c r="L4" i="3"/>
  <c r="B5" i="3"/>
  <c r="C5" i="3"/>
  <c r="D5" i="3"/>
  <c r="E5" i="3"/>
  <c r="H5" i="3"/>
  <c r="I5" i="3"/>
  <c r="J5" i="3"/>
  <c r="K5" i="3"/>
  <c r="L5" i="3"/>
  <c r="B3" i="3"/>
  <c r="J109" i="1"/>
  <c r="Q102" i="1"/>
  <c r="J102" i="1"/>
  <c r="D102" i="1"/>
  <c r="Q139" i="1"/>
  <c r="Q131" i="1"/>
  <c r="L3" i="3"/>
  <c r="L2" i="3"/>
  <c r="Q16" i="1"/>
  <c r="K2" i="3"/>
  <c r="K3" i="3"/>
  <c r="B2" i="3"/>
  <c r="D2" i="3"/>
  <c r="J2" i="3" s="1"/>
  <c r="D3" i="3"/>
  <c r="J3" i="3" s="1"/>
  <c r="Q122" i="1"/>
  <c r="J122" i="1"/>
  <c r="J139" i="1"/>
  <c r="Q120" i="1"/>
  <c r="J120" i="1"/>
  <c r="D120" i="1"/>
  <c r="Q119" i="1"/>
  <c r="J119" i="1"/>
  <c r="D119" i="1"/>
  <c r="Q118" i="1"/>
  <c r="J118" i="1"/>
  <c r="D118" i="1"/>
  <c r="J131" i="1"/>
  <c r="J130" i="1"/>
  <c r="J126" i="1"/>
  <c r="J116" i="1"/>
  <c r="Q114" i="1"/>
  <c r="J114" i="1"/>
  <c r="J115" i="1"/>
  <c r="Q115" i="1"/>
  <c r="J117" i="1"/>
  <c r="Q116" i="1"/>
  <c r="Q101" i="1"/>
  <c r="Q133" i="1"/>
  <c r="V4" i="2"/>
  <c r="Y4" i="2" s="1"/>
  <c r="V5" i="2"/>
  <c r="Y5" i="2" s="1"/>
  <c r="V6" i="2"/>
  <c r="Y6" i="2" s="1"/>
  <c r="V7" i="2"/>
  <c r="Y7" i="2" s="1"/>
  <c r="V8" i="2"/>
  <c r="Y8" i="2" s="1"/>
  <c r="V9" i="2"/>
  <c r="Y9" i="2" s="1"/>
  <c r="V10" i="2"/>
  <c r="Y10" i="2" s="1"/>
  <c r="V11" i="2"/>
  <c r="Y11" i="2" s="1"/>
  <c r="V12" i="2"/>
  <c r="Y12" i="2" s="1"/>
  <c r="V13" i="2"/>
  <c r="Y13" i="2" s="1"/>
  <c r="V14" i="2"/>
  <c r="Y14" i="2" s="1"/>
  <c r="V15" i="2"/>
  <c r="Y15" i="2" s="1"/>
  <c r="V16" i="2"/>
  <c r="Y16" i="2" s="1"/>
  <c r="V17" i="2"/>
  <c r="Y17" i="2" s="1"/>
  <c r="V18" i="2"/>
  <c r="Y18" i="2" s="1"/>
  <c r="V19" i="2"/>
  <c r="Y19" i="2" s="1"/>
  <c r="V20" i="2"/>
  <c r="Y20" i="2" s="1"/>
  <c r="V21" i="2"/>
  <c r="Y21" i="2" s="1"/>
  <c r="V22" i="2"/>
  <c r="Y22" i="2" s="1"/>
  <c r="V23" i="2"/>
  <c r="Y23" i="2" s="1"/>
  <c r="D107" i="1"/>
  <c r="J113" i="1"/>
  <c r="J112" i="1"/>
  <c r="J111" i="1"/>
  <c r="Q113" i="1"/>
  <c r="Q112" i="1"/>
  <c r="J106" i="1"/>
  <c r="D106" i="1"/>
  <c r="Q111" i="1"/>
  <c r="Q15" i="1"/>
  <c r="Q108" i="1"/>
  <c r="Q110" i="1"/>
  <c r="Q135" i="1"/>
  <c r="Q136" i="1"/>
  <c r="Q17" i="1"/>
  <c r="Q18" i="1"/>
  <c r="Q19" i="1"/>
  <c r="Q94" i="1"/>
  <c r="Q95" i="1"/>
  <c r="Q96" i="1"/>
  <c r="Q97" i="1"/>
  <c r="Q98" i="1"/>
  <c r="Q99" i="1"/>
  <c r="Q100" i="1"/>
  <c r="Q103" i="1"/>
  <c r="Q104" i="1"/>
  <c r="Q105" i="1"/>
  <c r="Q20" i="1"/>
  <c r="Q21" i="1"/>
  <c r="Q22" i="1"/>
  <c r="Q75" i="1"/>
  <c r="Q76" i="1"/>
  <c r="Q77" i="1"/>
  <c r="Q3" i="1"/>
  <c r="Q2" i="1"/>
  <c r="Q4" i="1"/>
  <c r="Q49" i="1"/>
  <c r="Q50" i="1"/>
  <c r="Q51" i="1"/>
  <c r="Q47" i="1"/>
  <c r="Q11" i="1"/>
  <c r="Q12" i="1"/>
  <c r="Q13" i="1"/>
  <c r="Q23" i="1"/>
  <c r="Q24" i="1"/>
  <c r="Q25" i="1"/>
  <c r="Q36" i="1"/>
  <c r="Q69" i="1"/>
  <c r="Q90" i="1"/>
  <c r="Q35" i="1"/>
  <c r="Q68" i="1"/>
  <c r="Q89" i="1"/>
  <c r="Q34" i="1"/>
  <c r="Q67" i="1"/>
  <c r="Q88" i="1"/>
  <c r="Q31" i="1"/>
  <c r="Q63" i="1"/>
  <c r="Q66" i="1"/>
  <c r="Q32" i="1"/>
  <c r="Q62" i="1"/>
  <c r="Q65" i="1"/>
  <c r="Q70" i="1"/>
  <c r="Q86" i="1"/>
  <c r="Q87" i="1"/>
  <c r="Q33" i="1"/>
  <c r="Q61" i="1"/>
  <c r="Q64" i="1"/>
  <c r="Q71" i="1"/>
  <c r="Q85" i="1"/>
  <c r="Q10" i="1"/>
  <c r="Q9" i="1"/>
  <c r="Q8" i="1"/>
  <c r="Q48" i="1"/>
  <c r="Q41" i="1"/>
  <c r="Q42" i="1"/>
  <c r="Q28" i="1"/>
  <c r="Q72" i="1"/>
  <c r="Q91" i="1"/>
  <c r="Q43" i="1"/>
  <c r="Q26" i="1"/>
  <c r="Q27" i="1"/>
  <c r="Q5" i="1"/>
  <c r="Q6" i="1"/>
  <c r="Q7" i="1"/>
  <c r="Q92" i="1"/>
  <c r="Q93" i="1"/>
  <c r="Q29" i="1"/>
  <c r="Q30" i="1"/>
  <c r="Q73" i="1"/>
  <c r="Q74" i="1"/>
  <c r="Q44" i="1"/>
  <c r="Q45" i="1"/>
  <c r="Q46" i="1"/>
  <c r="Q37" i="1"/>
  <c r="Q38" i="1"/>
  <c r="Q39" i="1"/>
  <c r="Q40" i="1"/>
  <c r="Q57" i="1"/>
  <c r="Q59" i="1"/>
  <c r="Q60" i="1"/>
  <c r="Q58" i="1"/>
  <c r="Q56" i="1"/>
  <c r="Q14" i="1"/>
  <c r="J97" i="1"/>
  <c r="D97" i="1"/>
  <c r="J105" i="1"/>
  <c r="D105" i="1"/>
  <c r="J6" i="1"/>
  <c r="D6" i="1"/>
  <c r="J138" i="1"/>
  <c r="J47" i="1"/>
  <c r="J135" i="1"/>
  <c r="J15" i="1"/>
  <c r="J14" i="1"/>
  <c r="J3" i="1"/>
  <c r="J4" i="1"/>
  <c r="J5" i="1"/>
  <c r="J7" i="1"/>
  <c r="J8" i="1"/>
  <c r="J9" i="1"/>
  <c r="J10" i="1"/>
  <c r="J11" i="1"/>
  <c r="J12" i="1"/>
  <c r="J13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85" i="1"/>
  <c r="J86" i="1"/>
  <c r="J87" i="1"/>
  <c r="J88" i="1"/>
  <c r="J89" i="1"/>
  <c r="J90" i="1"/>
  <c r="J91" i="1"/>
  <c r="J92" i="1"/>
  <c r="J93" i="1"/>
  <c r="J94" i="1"/>
  <c r="J95" i="1"/>
  <c r="J96" i="1"/>
  <c r="J98" i="1"/>
  <c r="J99" i="1"/>
  <c r="J100" i="1"/>
  <c r="J101" i="1"/>
  <c r="J103" i="1"/>
  <c r="J104" i="1"/>
  <c r="J108" i="1"/>
  <c r="J110" i="1"/>
  <c r="J16" i="1"/>
  <c r="J2" i="1"/>
  <c r="D5" i="1"/>
  <c r="D3" i="1"/>
  <c r="D4" i="1"/>
  <c r="D7" i="1"/>
  <c r="D8" i="1"/>
  <c r="D9" i="1"/>
  <c r="D10" i="1"/>
  <c r="D11" i="1"/>
  <c r="D12" i="1"/>
  <c r="D13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85" i="1"/>
  <c r="D86" i="1"/>
  <c r="D87" i="1"/>
  <c r="D88" i="1"/>
  <c r="D89" i="1"/>
  <c r="D90" i="1"/>
  <c r="D91" i="1"/>
  <c r="D92" i="1"/>
  <c r="D93" i="1"/>
  <c r="D94" i="1"/>
  <c r="D95" i="1"/>
  <c r="D96" i="1"/>
  <c r="D98" i="1"/>
  <c r="D99" i="1"/>
  <c r="D100" i="1"/>
  <c r="D101" i="1"/>
  <c r="D103" i="1"/>
  <c r="D104" i="1"/>
  <c r="D2" i="1"/>
  <c r="F5" i="3" l="1"/>
  <c r="G5" i="3" s="1"/>
  <c r="F4" i="3"/>
  <c r="G4" i="3" s="1"/>
  <c r="H3" i="3"/>
  <c r="E3" i="3"/>
  <c r="H2" i="3"/>
  <c r="I2" i="3"/>
  <c r="C3" i="3"/>
  <c r="F3" i="3" s="1"/>
  <c r="I3" i="3"/>
  <c r="C2" i="3"/>
  <c r="F2" i="3" s="1"/>
  <c r="E2" i="3"/>
  <c r="G3" i="3" l="1"/>
  <c r="G2" i="3"/>
</calcChain>
</file>

<file path=xl/sharedStrings.xml><?xml version="1.0" encoding="utf-8"?>
<sst xmlns="http://schemas.openxmlformats.org/spreadsheetml/2006/main" count="3435" uniqueCount="606">
  <si>
    <t>Primary Serial</t>
  </si>
  <si>
    <t>Hashrate</t>
  </si>
  <si>
    <t>Sticker</t>
  </si>
  <si>
    <t>Model Serial</t>
  </si>
  <si>
    <t>Model</t>
  </si>
  <si>
    <t>Side Serial</t>
  </si>
  <si>
    <t>Year Serial</t>
  </si>
  <si>
    <t>YearOM</t>
  </si>
  <si>
    <t>Rated J/TH</t>
  </si>
  <si>
    <t>Calc Watts</t>
  </si>
  <si>
    <t>Env.</t>
  </si>
  <si>
    <t>Hashboard</t>
  </si>
  <si>
    <t>Hashboard Serial</t>
  </si>
  <si>
    <t>ASIC Chip</t>
  </si>
  <si>
    <t>ASICs/HB</t>
  </si>
  <si>
    <t># HB</t>
  </si>
  <si>
    <t>Total ASIC</t>
  </si>
  <si>
    <t xml:space="preserve">Power Supply </t>
  </si>
  <si>
    <t>Control Board Options</t>
  </si>
  <si>
    <t>HB Material</t>
  </si>
  <si>
    <t>Temp Sens/HB</t>
  </si>
  <si>
    <t>PIC/MOS</t>
  </si>
  <si>
    <t>Heatsink Type</t>
  </si>
  <si>
    <t>Fan Size</t>
  </si>
  <si>
    <t>Fan RPM</t>
  </si>
  <si>
    <t>Chassis Size</t>
  </si>
  <si>
    <t>PSU Size</t>
  </si>
  <si>
    <t>Power Connector</t>
  </si>
  <si>
    <t>AC Voltage Range</t>
  </si>
  <si>
    <t>LPM</t>
  </si>
  <si>
    <t>LPM Update Req.</t>
  </si>
  <si>
    <t>HEM</t>
  </si>
  <si>
    <t>Reference Model</t>
  </si>
  <si>
    <t>Favorites</t>
  </si>
  <si>
    <t>67A</t>
  </si>
  <si>
    <t>S19 Pro_110T</t>
  </si>
  <si>
    <t>S19 Pro</t>
  </si>
  <si>
    <t>67U</t>
  </si>
  <si>
    <t>J</t>
  </si>
  <si>
    <t>Air</t>
  </si>
  <si>
    <t>NBS1901</t>
  </si>
  <si>
    <t>YI3</t>
  </si>
  <si>
    <t>BM1398</t>
  </si>
  <si>
    <t>APW121215ABC</t>
  </si>
  <si>
    <t>Xilinx</t>
  </si>
  <si>
    <t>FR4</t>
  </si>
  <si>
    <t>Yes</t>
  </si>
  <si>
    <t>Solid Plate</t>
  </si>
  <si>
    <t>120mm</t>
  </si>
  <si>
    <t>S19 Short-30mm</t>
  </si>
  <si>
    <t>Normal Size</t>
  </si>
  <si>
    <t>2x C13</t>
  </si>
  <si>
    <t>200-240V</t>
  </si>
  <si>
    <t>December 2022</t>
  </si>
  <si>
    <t>No</t>
  </si>
  <si>
    <t>67B</t>
  </si>
  <si>
    <t>S19 Pro_105T</t>
  </si>
  <si>
    <t>68A</t>
  </si>
  <si>
    <t>S19_95T</t>
  </si>
  <si>
    <t>S19</t>
  </si>
  <si>
    <t>68U</t>
  </si>
  <si>
    <t>NBS1902</t>
  </si>
  <si>
    <t>S19 Normal-60mm</t>
  </si>
  <si>
    <t>68B</t>
  </si>
  <si>
    <t>S19_90T</t>
  </si>
  <si>
    <t>A0A</t>
  </si>
  <si>
    <t>T19_88T</t>
  </si>
  <si>
    <t>T19</t>
  </si>
  <si>
    <t>A0U</t>
  </si>
  <si>
    <t>NBS1903</t>
  </si>
  <si>
    <t>A0B</t>
  </si>
  <si>
    <t>T19_84T</t>
  </si>
  <si>
    <t>ADA</t>
  </si>
  <si>
    <t>S19j Pro+_120T</t>
  </si>
  <si>
    <t>S19j Pro+</t>
  </si>
  <si>
    <t>ADU</t>
  </si>
  <si>
    <t>C</t>
  </si>
  <si>
    <t>BHB42612</t>
  </si>
  <si>
    <t>YR5</t>
  </si>
  <si>
    <t>BM1362</t>
  </si>
  <si>
    <t>APW121215DEF</t>
  </si>
  <si>
    <t>Xilinx, AML</t>
  </si>
  <si>
    <t>Ind. Soldered</t>
  </si>
  <si>
    <t>Initial</t>
  </si>
  <si>
    <t>ADB</t>
  </si>
  <si>
    <t>S19j Pro+_117T</t>
  </si>
  <si>
    <t>ADC</t>
  </si>
  <si>
    <t>S19j Pro+_113T</t>
  </si>
  <si>
    <t>AEA</t>
  </si>
  <si>
    <t>S19k Pro_120T</t>
  </si>
  <si>
    <t>S19k Pro</t>
  </si>
  <si>
    <t>AEU</t>
  </si>
  <si>
    <t>BHB56902</t>
  </si>
  <si>
    <t>BM1366</t>
  </si>
  <si>
    <t>Xilinx, AML, CV</t>
  </si>
  <si>
    <t>6000/7000</t>
  </si>
  <si>
    <t>N/A</t>
  </si>
  <si>
    <t>AEB</t>
  </si>
  <si>
    <t>S19k Pro_115T</t>
  </si>
  <si>
    <t>AEC</t>
  </si>
  <si>
    <t>S19k Pro_110T</t>
  </si>
  <si>
    <t>AHA</t>
  </si>
  <si>
    <t>S21 Hyd._335T</t>
  </si>
  <si>
    <t>AH</t>
  </si>
  <si>
    <t>S21 Hyd.</t>
  </si>
  <si>
    <t>AHU</t>
  </si>
  <si>
    <t>D</t>
  </si>
  <si>
    <t>Hydro</t>
  </si>
  <si>
    <t>HHB68501</t>
  </si>
  <si>
    <t>BM1368</t>
  </si>
  <si>
    <t>Xilinx (Hydro)</t>
  </si>
  <si>
    <t>Liquid-to-Chip</t>
  </si>
  <si>
    <t>Hydro Size</t>
  </si>
  <si>
    <t>LP-20-4</t>
  </si>
  <si>
    <t>380-415V</t>
  </si>
  <si>
    <t>Unknown</t>
  </si>
  <si>
    <t>AHB</t>
  </si>
  <si>
    <t>S21 Hyd._319T</t>
  </si>
  <si>
    <t>ANA</t>
  </si>
  <si>
    <t>S19j XP_151T</t>
  </si>
  <si>
    <t>AN</t>
  </si>
  <si>
    <t>S19j XP</t>
  </si>
  <si>
    <t>ANU</t>
  </si>
  <si>
    <t>APW171215A</t>
  </si>
  <si>
    <t>Aluminum</t>
  </si>
  <si>
    <t>P13 (4 Pin)</t>
  </si>
  <si>
    <t>220-277V</t>
  </si>
  <si>
    <t>ATA</t>
  </si>
  <si>
    <t>S21_200T</t>
  </si>
  <si>
    <t>S21</t>
  </si>
  <si>
    <t>ATU</t>
  </si>
  <si>
    <t>C/D</t>
  </si>
  <si>
    <t>2023/2024</t>
  </si>
  <si>
    <t>BHB68603</t>
  </si>
  <si>
    <t>YRH</t>
  </si>
  <si>
    <t>AML</t>
  </si>
  <si>
    <t>ATB</t>
  </si>
  <si>
    <t>S21_188T</t>
  </si>
  <si>
    <t>ATD</t>
  </si>
  <si>
    <t>S21_195T</t>
  </si>
  <si>
    <t>AWA</t>
  </si>
  <si>
    <t>S19 XP_141T</t>
  </si>
  <si>
    <t>S19 XP</t>
  </si>
  <si>
    <t>AWU</t>
  </si>
  <si>
    <t>BHB56806</t>
  </si>
  <si>
    <t>YRJ</t>
  </si>
  <si>
    <t>July 2023</t>
  </si>
  <si>
    <t>AWB</t>
  </si>
  <si>
    <t>S19 XP_134T</t>
  </si>
  <si>
    <t>AWC</t>
  </si>
  <si>
    <t>S19 XP_127T</t>
  </si>
  <si>
    <t>B0A</t>
  </si>
  <si>
    <t>B0U</t>
  </si>
  <si>
    <t>BHB56903</t>
  </si>
  <si>
    <t>B0B</t>
  </si>
  <si>
    <t>B0C</t>
  </si>
  <si>
    <t>B9D</t>
  </si>
  <si>
    <t>S19i_88.5T</t>
  </si>
  <si>
    <t>S19i</t>
  </si>
  <si>
    <t>B9U</t>
  </si>
  <si>
    <t>A</t>
  </si>
  <si>
    <t>NBS2003</t>
  </si>
  <si>
    <t>S19 Size</t>
  </si>
  <si>
    <t>B9E</t>
  </si>
  <si>
    <t>S19i_92.5T</t>
  </si>
  <si>
    <t>C2A</t>
  </si>
  <si>
    <t>C2U</t>
  </si>
  <si>
    <t>A/B</t>
  </si>
  <si>
    <t>2021/2022</t>
  </si>
  <si>
    <t>BHB42801</t>
  </si>
  <si>
    <t>APW121417A</t>
  </si>
  <si>
    <t>S19 Long-90mm</t>
  </si>
  <si>
    <t>C2B</t>
  </si>
  <si>
    <t>S19_86T</t>
  </si>
  <si>
    <t>C2C</t>
  </si>
  <si>
    <t>S19_82T</t>
  </si>
  <si>
    <t>D4A</t>
  </si>
  <si>
    <t>S19j Pro_96T</t>
  </si>
  <si>
    <t>S19j Pro</t>
  </si>
  <si>
    <t>D4U</t>
  </si>
  <si>
    <t>BHB42601</t>
  </si>
  <si>
    <t>Xilinx, BB, AML</t>
  </si>
  <si>
    <t>DWB</t>
  </si>
  <si>
    <t>S19j Pro_100T</t>
  </si>
  <si>
    <t>DWU</t>
  </si>
  <si>
    <t>BHB42603</t>
  </si>
  <si>
    <t>D4C</t>
  </si>
  <si>
    <t>S19j Pro_104T</t>
  </si>
  <si>
    <t>D4D</t>
  </si>
  <si>
    <t>S19j Pro_92T</t>
  </si>
  <si>
    <t>D4E</t>
  </si>
  <si>
    <t>S19j Pro_88T</t>
  </si>
  <si>
    <t>D4F</t>
  </si>
  <si>
    <t>S19j Pro_84T</t>
  </si>
  <si>
    <t>D5A</t>
  </si>
  <si>
    <t>S19j_94T</t>
  </si>
  <si>
    <t>S19j</t>
  </si>
  <si>
    <t>D5U</t>
  </si>
  <si>
    <t>Xilinx, BB</t>
  </si>
  <si>
    <t>D5B</t>
  </si>
  <si>
    <t>S19j_90T</t>
  </si>
  <si>
    <t>D5C</t>
  </si>
  <si>
    <t>S19j_86T</t>
  </si>
  <si>
    <t>D5D</t>
  </si>
  <si>
    <t>S19j_82T</t>
  </si>
  <si>
    <t>DAA</t>
  </si>
  <si>
    <t>S19a Pro_110T</t>
  </si>
  <si>
    <t>S19a Pro</t>
  </si>
  <si>
    <t>DAU</t>
  </si>
  <si>
    <t>BHB28501</t>
  </si>
  <si>
    <t>Xilinx (Special)</t>
  </si>
  <si>
    <t>DAB</t>
  </si>
  <si>
    <t>S19a Pro_106T</t>
  </si>
  <si>
    <t>DAC</t>
  </si>
  <si>
    <t>S19a Pro_102T</t>
  </si>
  <si>
    <t>DBA</t>
  </si>
  <si>
    <t>S19a_96T</t>
  </si>
  <si>
    <t>S19a</t>
  </si>
  <si>
    <t>DBU</t>
  </si>
  <si>
    <t>BHB28611</t>
  </si>
  <si>
    <t>DBB</t>
  </si>
  <si>
    <t>S19a_92T</t>
  </si>
  <si>
    <t>DBC</t>
  </si>
  <si>
    <t>S19a_88T</t>
  </si>
  <si>
    <t>DQA</t>
  </si>
  <si>
    <t>S19 Hydro_158T</t>
  </si>
  <si>
    <t>DQ</t>
  </si>
  <si>
    <t>S19 Hydro</t>
  </si>
  <si>
    <t>DQU</t>
  </si>
  <si>
    <t>B</t>
  </si>
  <si>
    <t>HHB28x01</t>
  </si>
  <si>
    <t>DQB</t>
  </si>
  <si>
    <t>S19 Hydro_151.3T</t>
  </si>
  <si>
    <t>DQC</t>
  </si>
  <si>
    <t>S19 Hydro_145T</t>
  </si>
  <si>
    <t>DQD</t>
  </si>
  <si>
    <t>S19 Hydro_138.5T</t>
  </si>
  <si>
    <t>DQE</t>
  </si>
  <si>
    <t>S19 Hydro_132T</t>
  </si>
  <si>
    <t>DRA</t>
  </si>
  <si>
    <t>T19 Hydro_119T</t>
  </si>
  <si>
    <t>DR</t>
  </si>
  <si>
    <t>T19 Hydro</t>
  </si>
  <si>
    <t>DRU</t>
  </si>
  <si>
    <t>DRB</t>
  </si>
  <si>
    <t>T19 Hydro_125T</t>
  </si>
  <si>
    <t>DRC</t>
  </si>
  <si>
    <t>T19 Hydro_132T</t>
  </si>
  <si>
    <t>DRD</t>
  </si>
  <si>
    <t>T19 Hydro_138.5T</t>
  </si>
  <si>
    <t>DSA</t>
  </si>
  <si>
    <t>S19 Pro+ Hyd._177T</t>
  </si>
  <si>
    <t>DS</t>
  </si>
  <si>
    <t>S19 Pro+ Hyd.</t>
  </si>
  <si>
    <t>DSU</t>
  </si>
  <si>
    <t>S19 Pro+ Hyd._198T</t>
  </si>
  <si>
    <t>DSB</t>
  </si>
  <si>
    <t>S19 Pro+ Hyd._170T</t>
  </si>
  <si>
    <t>S19 Pro+ Hyd._191T</t>
  </si>
  <si>
    <t>DSC</t>
  </si>
  <si>
    <t>S19 Pro+ Hyd._184T</t>
  </si>
  <si>
    <t>DWA</t>
  </si>
  <si>
    <t>E3A</t>
  </si>
  <si>
    <t>E3U</t>
  </si>
  <si>
    <t>BHB42621</t>
  </si>
  <si>
    <t>DWC</t>
  </si>
  <si>
    <t>DXA</t>
  </si>
  <si>
    <t>DXU</t>
  </si>
  <si>
    <t>BHB42631</t>
  </si>
  <si>
    <t>YNS</t>
  </si>
  <si>
    <t>DXB</t>
  </si>
  <si>
    <t>DXC</t>
  </si>
  <si>
    <t>DXD</t>
  </si>
  <si>
    <t>DXE</t>
  </si>
  <si>
    <t>DXF</t>
  </si>
  <si>
    <t>D4B</t>
  </si>
  <si>
    <t>E3C</t>
  </si>
  <si>
    <t>E5A</t>
  </si>
  <si>
    <t>E5U</t>
  </si>
  <si>
    <t>BHB42831</t>
  </si>
  <si>
    <t>APW121417B</t>
  </si>
  <si>
    <t>E5B</t>
  </si>
  <si>
    <t>E5C</t>
  </si>
  <si>
    <t>EAA</t>
  </si>
  <si>
    <t>EAU</t>
  </si>
  <si>
    <t>B/C</t>
  </si>
  <si>
    <t>2022/2023</t>
  </si>
  <si>
    <t>BHB56801</t>
  </si>
  <si>
    <t>YPD</t>
  </si>
  <si>
    <t>EAB</t>
  </si>
  <si>
    <t>EAC</t>
  </si>
  <si>
    <t>EBA</t>
  </si>
  <si>
    <t>S19 Pro Hyd._169.5T</t>
  </si>
  <si>
    <t>EB</t>
  </si>
  <si>
    <t>S19 Pro Hyd.</t>
  </si>
  <si>
    <t>EBU</t>
  </si>
  <si>
    <t>HHB42602</t>
  </si>
  <si>
    <t>S19 Pro Hyd._184T</t>
  </si>
  <si>
    <t>EBB</t>
  </si>
  <si>
    <t>S19 Pro Hyd._163T</t>
  </si>
  <si>
    <t>S19 Pro Hyd._177T</t>
  </si>
  <si>
    <t>EBC</t>
  </si>
  <si>
    <t>S19 Pro Hyd._162T</t>
  </si>
  <si>
    <t>S19 Pro Hyd._170T</t>
  </si>
  <si>
    <t>EBD</t>
  </si>
  <si>
    <t>S19 Pro Hyd._154.5T</t>
  </si>
  <si>
    <t>EMA</t>
  </si>
  <si>
    <t>S19 Pro_104T</t>
  </si>
  <si>
    <t>EMU</t>
  </si>
  <si>
    <t>BHB42651</t>
  </si>
  <si>
    <t>YPQ</t>
  </si>
  <si>
    <t>EMB</t>
  </si>
  <si>
    <t>S19 Pro_100T</t>
  </si>
  <si>
    <t>EMC</t>
  </si>
  <si>
    <t>S19 Pro_96T</t>
  </si>
  <si>
    <t>EMD</t>
  </si>
  <si>
    <t>S19 Pro_92T</t>
  </si>
  <si>
    <t>EME</t>
  </si>
  <si>
    <t>S19 Pro_88T</t>
  </si>
  <si>
    <t>EMF</t>
  </si>
  <si>
    <t>S19 Pro_84T</t>
  </si>
  <si>
    <t>ESA</t>
  </si>
  <si>
    <t>ESU</t>
  </si>
  <si>
    <t>BHB42841</t>
  </si>
  <si>
    <t>ESB</t>
  </si>
  <si>
    <t>ESC</t>
  </si>
  <si>
    <t>F1A</t>
  </si>
  <si>
    <t>T21_180T</t>
  </si>
  <si>
    <t>T21</t>
  </si>
  <si>
    <t>F1U</t>
  </si>
  <si>
    <t>BHB68703</t>
  </si>
  <si>
    <t>APW111216A</t>
  </si>
  <si>
    <t>Wide PSU</t>
  </si>
  <si>
    <t>P33 (6 Pin)</t>
  </si>
  <si>
    <t>F2A</t>
  </si>
  <si>
    <t>T21_190T</t>
  </si>
  <si>
    <t>F2U</t>
  </si>
  <si>
    <t>BHB68701</t>
  </si>
  <si>
    <t>F9A</t>
  </si>
  <si>
    <t>F9U</t>
  </si>
  <si>
    <t>F9C</t>
  </si>
  <si>
    <t>FAA</t>
  </si>
  <si>
    <t>FAU</t>
  </si>
  <si>
    <t>BHB68606</t>
  </si>
  <si>
    <t>YS3</t>
  </si>
  <si>
    <t>FAB</t>
  </si>
  <si>
    <t>FAD</t>
  </si>
  <si>
    <t>FBA</t>
  </si>
  <si>
    <t>S21 Imm._239T</t>
  </si>
  <si>
    <t>S21 Imm.</t>
  </si>
  <si>
    <t>FBU</t>
  </si>
  <si>
    <t>Immersion</t>
  </si>
  <si>
    <t>IHB68601</t>
  </si>
  <si>
    <t>AML (WIDE)</t>
  </si>
  <si>
    <t>S21 Pro Short IMM</t>
  </si>
  <si>
    <t>FBB</t>
  </si>
  <si>
    <t>S21 Imm._215T</t>
  </si>
  <si>
    <t>FR5</t>
  </si>
  <si>
    <t>FKA</t>
  </si>
  <si>
    <t>S21 Pro_234T</t>
  </si>
  <si>
    <t>S21 Pro</t>
  </si>
  <si>
    <t>FKU</t>
  </si>
  <si>
    <t>D/E</t>
  </si>
  <si>
    <t>2024/2025</t>
  </si>
  <si>
    <t>A3HB70601</t>
  </si>
  <si>
    <t>YSC</t>
  </si>
  <si>
    <t>BM1370</t>
  </si>
  <si>
    <t>140mm</t>
  </si>
  <si>
    <t>S21 Pro-110mm</t>
  </si>
  <si>
    <t>FKB</t>
  </si>
  <si>
    <t>S21 Pro_220T</t>
  </si>
  <si>
    <t>FKC</t>
  </si>
  <si>
    <t>S21 Pro_245T</t>
  </si>
  <si>
    <t>FLA</t>
  </si>
  <si>
    <t>S19e XP Hyd._251T</t>
  </si>
  <si>
    <t>S19e XP Hyd.</t>
  </si>
  <si>
    <t>FLU</t>
  </si>
  <si>
    <t>FLB</t>
  </si>
  <si>
    <t>S19e XP Hyd._240T</t>
  </si>
  <si>
    <t>FMA</t>
  </si>
  <si>
    <t>S21 XP_270T</t>
  </si>
  <si>
    <t>FM</t>
  </si>
  <si>
    <t>S21 XP</t>
  </si>
  <si>
    <t>FMU</t>
  </si>
  <si>
    <t>A3HB70501</t>
  </si>
  <si>
    <t>YSE</t>
  </si>
  <si>
    <t>FRA</t>
  </si>
  <si>
    <t>U3S19XP+ Hyd._586T</t>
  </si>
  <si>
    <t>FR</t>
  </si>
  <si>
    <t>U3S19XP+ Hyd.</t>
  </si>
  <si>
    <t>FRU</t>
  </si>
  <si>
    <t>E</t>
  </si>
  <si>
    <t>Dual Xilinx (Hydro)</t>
  </si>
  <si>
    <t>2+5</t>
  </si>
  <si>
    <t>3U</t>
  </si>
  <si>
    <t>Rack Mount</t>
  </si>
  <si>
    <t>Kinda</t>
  </si>
  <si>
    <t>G1A</t>
  </si>
  <si>
    <t>S21 XP Imm._300T</t>
  </si>
  <si>
    <t>G1</t>
  </si>
  <si>
    <t>S21 XP Imm.</t>
  </si>
  <si>
    <t>G1U</t>
  </si>
  <si>
    <t>M1HB70602</t>
  </si>
  <si>
    <t>YSS</t>
  </si>
  <si>
    <t>G4A</t>
  </si>
  <si>
    <t>S21+_216T</t>
  </si>
  <si>
    <t>G4</t>
  </si>
  <si>
    <t>S21+</t>
  </si>
  <si>
    <t>G4U</t>
  </si>
  <si>
    <t>A3HB70701</t>
  </si>
  <si>
    <t>Solid Plate - Copper</t>
  </si>
  <si>
    <t>G4B</t>
  </si>
  <si>
    <t>S21+_225T</t>
  </si>
  <si>
    <t>G4C</t>
  </si>
  <si>
    <t>S21+_235T</t>
  </si>
  <si>
    <t>G5A</t>
  </si>
  <si>
    <t>S21+ Hyd._319T</t>
  </si>
  <si>
    <t>G5</t>
  </si>
  <si>
    <t>S21+ Hyd.</t>
  </si>
  <si>
    <t>G5U</t>
  </si>
  <si>
    <t>G5B</t>
  </si>
  <si>
    <t>S21+ Hyd._338T</t>
  </si>
  <si>
    <t>G5C</t>
  </si>
  <si>
    <t>S21+ Hyd._358T</t>
  </si>
  <si>
    <t>G5D</t>
  </si>
  <si>
    <t>S21+ Hyd._395T</t>
  </si>
  <si>
    <t>G9A</t>
  </si>
  <si>
    <t>G9U</t>
  </si>
  <si>
    <t>A3HB70602</t>
  </si>
  <si>
    <t>YT3</t>
  </si>
  <si>
    <t>G9B</t>
  </si>
  <si>
    <t>G9C</t>
  </si>
  <si>
    <t>GGA</t>
  </si>
  <si>
    <t>U3S21EXPH_860T</t>
  </si>
  <si>
    <t>GG</t>
  </si>
  <si>
    <t>U3S21EXPH</t>
  </si>
  <si>
    <t>GGU</t>
  </si>
  <si>
    <t>H1HB70601</t>
  </si>
  <si>
    <t>GMA</t>
  </si>
  <si>
    <t>GMU</t>
  </si>
  <si>
    <t>BHB56907</t>
  </si>
  <si>
    <t>GMB</t>
  </si>
  <si>
    <t>GMC</t>
  </si>
  <si>
    <t>GNA</t>
  </si>
  <si>
    <t>S23 Hyd._580T</t>
  </si>
  <si>
    <t>GN</t>
  </si>
  <si>
    <t>S23 Hyd.</t>
  </si>
  <si>
    <t>GNU</t>
  </si>
  <si>
    <t>H6H83601</t>
  </si>
  <si>
    <t>BM1340</t>
  </si>
  <si>
    <t>H9A</t>
  </si>
  <si>
    <t>H9U</t>
  </si>
  <si>
    <t>A3HB70603</t>
  </si>
  <si>
    <t>YW2</t>
  </si>
  <si>
    <t>H9B</t>
  </si>
  <si>
    <t>H9C</t>
  </si>
  <si>
    <t>U3S23EXPH_1160T</t>
  </si>
  <si>
    <t>U3S23EXPH</t>
  </si>
  <si>
    <t>S21 XP+ Hyd._500T</t>
  </si>
  <si>
    <t>S21 XP+ Hyd.</t>
  </si>
  <si>
    <t>S23 Imm._368T</t>
  </si>
  <si>
    <t>S23 Imm.</t>
  </si>
  <si>
    <t>S23_318T</t>
  </si>
  <si>
    <t>S23</t>
  </si>
  <si>
    <t>S21 XP Hyd._473T</t>
  </si>
  <si>
    <t>S21 XP Hyd.</t>
  </si>
  <si>
    <t>S19 XP+ Hyd._279T</t>
  </si>
  <si>
    <t>S19 XP+ Hyd.</t>
  </si>
  <si>
    <t>S19 XP Hyd._250T</t>
  </si>
  <si>
    <t>S19 XP Hyd.</t>
  </si>
  <si>
    <t>HHB56601</t>
  </si>
  <si>
    <t>S19 XP Hyd._257T</t>
  </si>
  <si>
    <t>T19 Pro Hyd._235T</t>
  </si>
  <si>
    <t>T19 Pro Hyd.</t>
  </si>
  <si>
    <t>T19 Pro Hyd._246T</t>
  </si>
  <si>
    <t>Full Serial Import</t>
  </si>
  <si>
    <t>Special Digits</t>
  </si>
  <si>
    <t>Result</t>
  </si>
  <si>
    <t>Backup Result</t>
  </si>
  <si>
    <t>Foreman Result</t>
  </si>
  <si>
    <t>Year Of Manufacture</t>
  </si>
  <si>
    <t>Avalon Special Character Check</t>
  </si>
  <si>
    <t>Bitmain Side Serial Check</t>
  </si>
  <si>
    <t>Notes</t>
  </si>
  <si>
    <t>*Please don't use the shared sheet for your individual use of this decoder</t>
  </si>
  <si>
    <t>*Copy the sheet onto your computer before using it</t>
  </si>
  <si>
    <t>*Drag the formula columns down as far as you need them</t>
  </si>
  <si>
    <t>TH/kW</t>
  </si>
  <si>
    <t>Bitmain Serial Decoder Explained</t>
  </si>
  <si>
    <t>PSU Decoder</t>
  </si>
  <si>
    <t>Stat</t>
  </si>
  <si>
    <t>Factory</t>
  </si>
  <si>
    <t>Sub-model</t>
  </si>
  <si>
    <t>The letter B</t>
  </si>
  <si>
    <t>Year of Manufacture</t>
  </si>
  <si>
    <t>J or A</t>
  </si>
  <si>
    <t>Serialized Section</t>
  </si>
  <si>
    <t>Position in serial</t>
  </si>
  <si>
    <t>Character (1-4)</t>
  </si>
  <si>
    <t>Character (5-6)</t>
  </si>
  <si>
    <t>Character (7)</t>
  </si>
  <si>
    <t>Character (8)</t>
  </si>
  <si>
    <t>Character (9)</t>
  </si>
  <si>
    <t>Character (10)</t>
  </si>
  <si>
    <t>Character (11-17)</t>
  </si>
  <si>
    <t>*Control Board and PSU can be assumed</t>
  </si>
  <si>
    <t>Character (5-7)</t>
  </si>
  <si>
    <t>Character (10-17)</t>
  </si>
  <si>
    <t>(Known) Possible Options</t>
  </si>
  <si>
    <t>BCME</t>
  </si>
  <si>
    <t>I</t>
  </si>
  <si>
    <t>AAA0000</t>
  </si>
  <si>
    <t>*Method does not work for MicroBT, Canaan, Auradine or any brand of miner other than bitmain</t>
  </si>
  <si>
    <t>DGAH</t>
  </si>
  <si>
    <t>30y</t>
  </si>
  <si>
    <t>AAAA0000</t>
  </si>
  <si>
    <t>E015</t>
  </si>
  <si>
    <t>*Character 7 "hashrate" must take sub-model into account</t>
  </si>
  <si>
    <t>DGQG</t>
  </si>
  <si>
    <t>E019</t>
  </si>
  <si>
    <t>A0</t>
  </si>
  <si>
    <t>*Character 10 is always either A or J. J is first half of the year and A is second half of the year</t>
  </si>
  <si>
    <t>DGYH</t>
  </si>
  <si>
    <t>E020</t>
  </si>
  <si>
    <t>AD</t>
  </si>
  <si>
    <t>*Method does not work for altcoin antminers</t>
  </si>
  <si>
    <t>KLKT</t>
  </si>
  <si>
    <t>FXDZ</t>
  </si>
  <si>
    <t>AE</t>
  </si>
  <si>
    <t>*Yellow on the full chart page means the line is still pending more information</t>
  </si>
  <si>
    <t>OLTT</t>
  </si>
  <si>
    <t>HKYQ</t>
  </si>
  <si>
    <t>AT</t>
  </si>
  <si>
    <t>F</t>
  </si>
  <si>
    <t>HQDZ</t>
  </si>
  <si>
    <t>AW</t>
  </si>
  <si>
    <t>HXXY</t>
  </si>
  <si>
    <t>B0</t>
  </si>
  <si>
    <t>HYDT</t>
  </si>
  <si>
    <t>B9</t>
  </si>
  <si>
    <t>I=2019</t>
  </si>
  <si>
    <t>KPMI</t>
  </si>
  <si>
    <t>C2</t>
  </si>
  <si>
    <t>J=2020</t>
  </si>
  <si>
    <t>NGSB</t>
  </si>
  <si>
    <t>D4</t>
  </si>
  <si>
    <t>A=2021</t>
  </si>
  <si>
    <t>PIEM</t>
  </si>
  <si>
    <t>D5</t>
  </si>
  <si>
    <t>B=2022</t>
  </si>
  <si>
    <t>SMTT</t>
  </si>
  <si>
    <t>DA</t>
  </si>
  <si>
    <t>C=2023</t>
  </si>
  <si>
    <t>THQG</t>
  </si>
  <si>
    <t>DB</t>
  </si>
  <si>
    <t>D=2024</t>
  </si>
  <si>
    <t>YDFT</t>
  </si>
  <si>
    <t>DW</t>
  </si>
  <si>
    <t>E=2025</t>
  </si>
  <si>
    <t>YNAH</t>
  </si>
  <si>
    <t>DX</t>
  </si>
  <si>
    <t>ONET</t>
  </si>
  <si>
    <t>E3</t>
  </si>
  <si>
    <t>E5</t>
  </si>
  <si>
    <t>EA</t>
  </si>
  <si>
    <t>EM</t>
  </si>
  <si>
    <t>ES</t>
  </si>
  <si>
    <t>F1</t>
  </si>
  <si>
    <t>F2</t>
  </si>
  <si>
    <t>F9</t>
  </si>
  <si>
    <t>FA</t>
  </si>
  <si>
    <t>FB</t>
  </si>
  <si>
    <t>FK</t>
  </si>
  <si>
    <t>/efficiency</t>
  </si>
  <si>
    <t>Hashprice ($/th/day)</t>
  </si>
  <si>
    <t>/24</t>
  </si>
  <si>
    <t>rev/kwh</t>
  </si>
  <si>
    <t>ANZE</t>
  </si>
  <si>
    <t>ASPW</t>
  </si>
  <si>
    <t>AZEC</t>
  </si>
  <si>
    <t>CMSI</t>
  </si>
  <si>
    <t>F=2026</t>
  </si>
  <si>
    <t>MERI</t>
  </si>
  <si>
    <t>Revenue per kwh</t>
  </si>
  <si>
    <t>GDA</t>
  </si>
  <si>
    <t>GD</t>
  </si>
  <si>
    <t>GDU</t>
  </si>
  <si>
    <t>A3HB70502</t>
  </si>
  <si>
    <t>Stock FW - FMT</t>
  </si>
  <si>
    <t>Vnish FW - FMT</t>
  </si>
  <si>
    <t>S21 Immersion (239T)</t>
  </si>
  <si>
    <t>S21 Immersion (215T)</t>
  </si>
  <si>
    <t>S21 XP Immersion (300T)</t>
  </si>
  <si>
    <t>S21 XP Immersion (Vnish)</t>
  </si>
  <si>
    <t>S21 Immersion (Vnish)</t>
  </si>
  <si>
    <t>S23 Immersion (368T)</t>
  </si>
  <si>
    <t>S23 Immersion (Vnish)</t>
  </si>
  <si>
    <t>S19j Pro (Vnish)</t>
  </si>
  <si>
    <t>0x6a</t>
  </si>
  <si>
    <t>0xc1</t>
  </si>
  <si>
    <t>0x74, 0x75, 0x76</t>
  </si>
  <si>
    <t>0x71, 0x72, 0x73</t>
  </si>
  <si>
    <t>PSU HW Code</t>
  </si>
  <si>
    <t>APW111721 (Hyd)</t>
  </si>
  <si>
    <t>APW111216 (Imm)</t>
  </si>
  <si>
    <t>CV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</si>
</sst>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71" formatCode="0.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5" xfId="0" applyNumberFormat="1" applyBorder="1"/>
    <xf numFmtId="0" fontId="0" fillId="0" borderId="15" xfId="0" applyBorder="1"/>
    <xf numFmtId="49" fontId="0" fillId="0" borderId="10" xfId="0" applyNumberFormat="1" applyBorder="1"/>
    <xf numFmtId="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65" fontId="0" fillId="0" borderId="5" xfId="0" applyNumberFormat="1" applyBorder="1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left" wrapText="1"/>
    </xf>
    <xf numFmtId="49" fontId="0" fillId="0" borderId="12" xfId="0" applyNumberFormat="1" applyBorder="1" applyAlignment="1">
      <alignment wrapText="1"/>
    </xf>
    <xf numFmtId="0" fontId="0" fillId="0" borderId="13" xfId="0" applyBorder="1" applyAlignment="1">
      <alignment wrapText="1"/>
    </xf>
    <xf numFmtId="49" fontId="0" fillId="0" borderId="10" xfId="0" applyNumberFormat="1" applyBorder="1" applyAlignment="1">
      <alignment horizontal="right"/>
    </xf>
    <xf numFmtId="171" fontId="0" fillId="0" borderId="5" xfId="0" applyNumberFormat="1" applyBorder="1"/>
    <xf numFmtId="171" fontId="0" fillId="0" borderId="6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14" xfId="0" applyBorder="1" applyAlignment="1">
      <alignment wrapText="1"/>
    </xf>
    <xf numFmtId="14" fontId="0" fillId="0" borderId="5" xfId="0" applyNumberFormat="1" applyBorder="1"/>
    <xf numFmtId="0" fontId="0" fillId="2" borderId="5" xfId="0" applyFill="1" applyBorder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655E-B9A6-4FA3-9AB2-0AF70584C122}">
  <sheetPr>
    <tabColor theme="9"/>
  </sheetPr>
  <dimension ref="A1:AL139"/>
  <sheetViews>
    <sheetView zoomScale="90" zoomScaleNormal="90" workbookViewId="0">
      <pane ySplit="1" topLeftCell="A2" activePane="bottomLeft" state="frozen"/>
      <selection activeCell="K1" sqref="K1"/>
      <selection pane="bottomLeft" activeCell="E1" sqref="E1"/>
    </sheetView>
  </sheetViews>
  <sheetFormatPr defaultRowHeight="15" x14ac:dyDescent="0.25"/>
  <cols>
    <col min="1" max="1" width="15.7109375" style="4" customWidth="1"/>
    <col min="2" max="2" width="11.28515625" style="4" customWidth="1"/>
    <col min="3" max="3" width="19.5703125" style="4" bestFit="1" customWidth="1"/>
    <col min="4" max="4" width="14.140625" style="4" customWidth="1"/>
    <col min="5" max="5" width="18.5703125" style="4" customWidth="1"/>
    <col min="6" max="9" width="12.42578125" style="4" customWidth="1"/>
    <col min="10" max="10" width="12.5703125" style="4" customWidth="1"/>
    <col min="11" max="11" width="12" style="4" customWidth="1"/>
    <col min="12" max="13" width="13.140625" style="4" customWidth="1"/>
    <col min="14" max="14" width="11.85546875" style="4" customWidth="1"/>
    <col min="15" max="15" width="11.28515625" style="4" customWidth="1"/>
    <col min="16" max="16" width="7.28515625" style="4" customWidth="1"/>
    <col min="17" max="17" width="12" style="4" customWidth="1"/>
    <col min="18" max="18" width="17.140625" style="4" bestFit="1" customWidth="1"/>
    <col min="19" max="19" width="15.28515625" style="4" bestFit="1" customWidth="1"/>
    <col min="20" max="20" width="23.140625" style="4" customWidth="1"/>
    <col min="21" max="21" width="11.5703125" style="15" customWidth="1"/>
    <col min="22" max="22" width="13.42578125" style="4" customWidth="1"/>
    <col min="23" max="23" width="16" style="4" customWidth="1"/>
    <col min="24" max="24" width="10.28515625" style="4" customWidth="1"/>
    <col min="25" max="25" width="18.42578125" style="4" customWidth="1"/>
    <col min="26" max="26" width="9.85546875" style="4" customWidth="1"/>
    <col min="27" max="27" width="10.85546875" style="4" customWidth="1"/>
    <col min="28" max="28" width="17.5703125" style="4" customWidth="1"/>
    <col min="29" max="29" width="10.7109375" style="4" customWidth="1"/>
    <col min="30" max="30" width="16" style="4" customWidth="1"/>
    <col min="31" max="31" width="18.7109375" style="4" customWidth="1"/>
    <col min="32" max="32" width="9.28515625" style="4" customWidth="1"/>
    <col min="33" max="33" width="18" style="5" customWidth="1"/>
    <col min="34" max="34" width="9.28515625" style="4" customWidth="1"/>
    <col min="35" max="35" width="23" style="4" bestFit="1" customWidth="1"/>
    <col min="36" max="36" width="24" style="4" bestFit="1" customWidth="1"/>
    <col min="37" max="37" width="9.140625" style="4" customWidth="1"/>
    <col min="38" max="38" width="9.140625" style="4"/>
  </cols>
  <sheetData>
    <row r="1" spans="1:38" s="21" customFormat="1" ht="30.7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602</v>
      </c>
      <c r="T1" s="18" t="s">
        <v>18</v>
      </c>
      <c r="U1" s="19" t="s">
        <v>605</v>
      </c>
      <c r="V1" s="18" t="s">
        <v>19</v>
      </c>
      <c r="W1" s="18" t="s">
        <v>20</v>
      </c>
      <c r="X1" s="18" t="s">
        <v>21</v>
      </c>
      <c r="Y1" s="18" t="s">
        <v>22</v>
      </c>
      <c r="Z1" s="18" t="s">
        <v>23</v>
      </c>
      <c r="AA1" s="18" t="s">
        <v>24</v>
      </c>
      <c r="AB1" s="18" t="s">
        <v>25</v>
      </c>
      <c r="AC1" s="18" t="s">
        <v>26</v>
      </c>
      <c r="AD1" s="18" t="s">
        <v>27</v>
      </c>
      <c r="AE1" s="18" t="s">
        <v>28</v>
      </c>
      <c r="AF1" s="18" t="s">
        <v>29</v>
      </c>
      <c r="AG1" s="20" t="s">
        <v>30</v>
      </c>
      <c r="AH1" s="18" t="s">
        <v>31</v>
      </c>
      <c r="AI1" s="18" t="s">
        <v>588</v>
      </c>
      <c r="AJ1" s="18" t="s">
        <v>589</v>
      </c>
      <c r="AK1" s="18" t="s">
        <v>32</v>
      </c>
      <c r="AL1" s="18" t="s">
        <v>33</v>
      </c>
    </row>
    <row r="2" spans="1:38" x14ac:dyDescent="0.25">
      <c r="A2" s="4" t="s">
        <v>34</v>
      </c>
      <c r="B2" s="4">
        <v>110</v>
      </c>
      <c r="C2" s="4" t="s">
        <v>35</v>
      </c>
      <c r="D2" s="4" t="str">
        <f t="shared" ref="D2:D13" si="0">MID(A2,1,2)</f>
        <v>67</v>
      </c>
      <c r="E2" s="4" t="s">
        <v>36</v>
      </c>
      <c r="F2" s="4" t="s">
        <v>37</v>
      </c>
      <c r="G2" s="4" t="s">
        <v>38</v>
      </c>
      <c r="H2" s="4">
        <v>2020</v>
      </c>
      <c r="I2" s="4">
        <v>29.5</v>
      </c>
      <c r="J2" s="11">
        <f t="shared" ref="J2:J47" si="1">B2*I2</f>
        <v>3245</v>
      </c>
      <c r="K2" s="11" t="s">
        <v>39</v>
      </c>
      <c r="L2" s="4" t="s">
        <v>40</v>
      </c>
      <c r="M2" s="4" t="s">
        <v>41</v>
      </c>
      <c r="N2" s="4" t="s">
        <v>42</v>
      </c>
      <c r="O2" s="4">
        <v>114</v>
      </c>
      <c r="P2" s="4">
        <v>3</v>
      </c>
      <c r="Q2" s="4">
        <f t="shared" ref="Q2:Q33" si="2">O2*P2</f>
        <v>342</v>
      </c>
      <c r="R2" s="4" t="s">
        <v>43</v>
      </c>
      <c r="S2" s="4" t="s">
        <v>601</v>
      </c>
      <c r="T2" s="4" t="s">
        <v>44</v>
      </c>
      <c r="U2" s="14">
        <v>0</v>
      </c>
      <c r="V2" s="4" t="s">
        <v>45</v>
      </c>
      <c r="W2" s="4">
        <v>4</v>
      </c>
      <c r="X2" s="4" t="s">
        <v>46</v>
      </c>
      <c r="Y2" s="4" t="s">
        <v>47</v>
      </c>
      <c r="Z2" s="4" t="s">
        <v>48</v>
      </c>
      <c r="AA2" s="4">
        <v>6000</v>
      </c>
      <c r="AB2" s="4" t="s">
        <v>49</v>
      </c>
      <c r="AC2" s="4" t="s">
        <v>50</v>
      </c>
      <c r="AD2" s="4" t="s">
        <v>51</v>
      </c>
      <c r="AE2" s="4" t="s">
        <v>52</v>
      </c>
      <c r="AF2" s="4" t="s">
        <v>46</v>
      </c>
      <c r="AG2" s="5" t="s">
        <v>53</v>
      </c>
      <c r="AH2" s="4" t="s">
        <v>54</v>
      </c>
      <c r="AI2" s="4" t="str">
        <f t="shared" ref="AI2:AI33" si="3">_xlfn.TEXTBEFORE(C2,"_") &amp; " (" &amp; _xlfn.TEXTAFTER(C2,"_") &amp; ")"</f>
        <v>S19 Pro (110T)</v>
      </c>
      <c r="AJ2" s="4" t="str">
        <f t="shared" ref="AJ2:AJ33" si="4">_xlfn.TEXTBEFORE(C2,"_") &amp; " (Vnish)"</f>
        <v>S19 Pro (Vnish)</v>
      </c>
      <c r="AK2" s="4">
        <v>1</v>
      </c>
      <c r="AL2" s="4">
        <v>1</v>
      </c>
    </row>
    <row r="3" spans="1:38" x14ac:dyDescent="0.25">
      <c r="A3" s="4" t="s">
        <v>55</v>
      </c>
      <c r="B3" s="4">
        <v>105</v>
      </c>
      <c r="C3" s="4" t="s">
        <v>56</v>
      </c>
      <c r="D3" s="4" t="str">
        <f t="shared" si="0"/>
        <v>67</v>
      </c>
      <c r="E3" s="4" t="s">
        <v>36</v>
      </c>
      <c r="F3" s="4" t="s">
        <v>37</v>
      </c>
      <c r="G3" s="4" t="s">
        <v>38</v>
      </c>
      <c r="H3" s="4">
        <v>2020</v>
      </c>
      <c r="I3" s="4">
        <v>29.5</v>
      </c>
      <c r="J3" s="11">
        <f t="shared" si="1"/>
        <v>3097.5</v>
      </c>
      <c r="K3" s="11" t="s">
        <v>39</v>
      </c>
      <c r="L3" s="4" t="s">
        <v>40</v>
      </c>
      <c r="M3" s="4" t="s">
        <v>41</v>
      </c>
      <c r="N3" s="4" t="s">
        <v>42</v>
      </c>
      <c r="O3" s="4">
        <v>114</v>
      </c>
      <c r="P3" s="4">
        <v>3</v>
      </c>
      <c r="Q3" s="4">
        <f t="shared" si="2"/>
        <v>342</v>
      </c>
      <c r="R3" s="4" t="s">
        <v>43</v>
      </c>
      <c r="S3" s="4" t="s">
        <v>601</v>
      </c>
      <c r="T3" s="4" t="s">
        <v>44</v>
      </c>
      <c r="U3" s="14">
        <v>0</v>
      </c>
      <c r="V3" s="4" t="s">
        <v>45</v>
      </c>
      <c r="W3" s="4">
        <v>4</v>
      </c>
      <c r="X3" s="4" t="s">
        <v>46</v>
      </c>
      <c r="Y3" s="4" t="s">
        <v>47</v>
      </c>
      <c r="Z3" s="4" t="s">
        <v>48</v>
      </c>
      <c r="AA3" s="4">
        <v>6000</v>
      </c>
      <c r="AB3" s="4" t="s">
        <v>49</v>
      </c>
      <c r="AC3" s="4" t="s">
        <v>50</v>
      </c>
      <c r="AD3" s="4" t="s">
        <v>51</v>
      </c>
      <c r="AE3" s="4" t="s">
        <v>52</v>
      </c>
      <c r="AF3" s="4" t="s">
        <v>46</v>
      </c>
      <c r="AG3" s="5" t="s">
        <v>53</v>
      </c>
      <c r="AH3" s="4" t="s">
        <v>54</v>
      </c>
      <c r="AI3" s="4" t="str">
        <f t="shared" si="3"/>
        <v>S19 Pro (105T)</v>
      </c>
      <c r="AJ3" s="4" t="str">
        <f t="shared" si="4"/>
        <v>S19 Pro (Vnish)</v>
      </c>
      <c r="AK3" s="4">
        <v>0</v>
      </c>
      <c r="AL3" s="4">
        <v>0</v>
      </c>
    </row>
    <row r="4" spans="1:38" x14ac:dyDescent="0.25">
      <c r="A4" s="4" t="s">
        <v>57</v>
      </c>
      <c r="B4" s="4">
        <v>95</v>
      </c>
      <c r="C4" s="4" t="s">
        <v>58</v>
      </c>
      <c r="D4" s="4" t="str">
        <f t="shared" si="0"/>
        <v>68</v>
      </c>
      <c r="E4" s="4" t="s">
        <v>59</v>
      </c>
      <c r="F4" s="4" t="s">
        <v>60</v>
      </c>
      <c r="G4" s="4" t="s">
        <v>38</v>
      </c>
      <c r="H4" s="4">
        <v>2020</v>
      </c>
      <c r="I4" s="4">
        <v>34</v>
      </c>
      <c r="J4" s="11">
        <f t="shared" si="1"/>
        <v>3230</v>
      </c>
      <c r="K4" s="11" t="s">
        <v>39</v>
      </c>
      <c r="L4" s="4" t="s">
        <v>61</v>
      </c>
      <c r="N4" s="4" t="s">
        <v>42</v>
      </c>
      <c r="O4" s="4">
        <v>76</v>
      </c>
      <c r="P4" s="4">
        <v>3</v>
      </c>
      <c r="Q4" s="4">
        <f t="shared" si="2"/>
        <v>228</v>
      </c>
      <c r="R4" s="4" t="s">
        <v>43</v>
      </c>
      <c r="S4" s="4" t="s">
        <v>601</v>
      </c>
      <c r="T4" s="4" t="s">
        <v>44</v>
      </c>
      <c r="U4" s="14">
        <v>0</v>
      </c>
      <c r="V4" s="4" t="s">
        <v>45</v>
      </c>
      <c r="W4" s="4">
        <v>4</v>
      </c>
      <c r="X4" s="4" t="s">
        <v>46</v>
      </c>
      <c r="Y4" s="4" t="s">
        <v>47</v>
      </c>
      <c r="Z4" s="4" t="s">
        <v>48</v>
      </c>
      <c r="AA4" s="4">
        <v>6000</v>
      </c>
      <c r="AB4" s="4" t="s">
        <v>62</v>
      </c>
      <c r="AC4" s="4" t="s">
        <v>50</v>
      </c>
      <c r="AD4" s="4" t="s">
        <v>51</v>
      </c>
      <c r="AE4" s="4" t="s">
        <v>52</v>
      </c>
      <c r="AF4" s="4" t="s">
        <v>46</v>
      </c>
      <c r="AG4" s="5" t="s">
        <v>53</v>
      </c>
      <c r="AH4" s="4" t="s">
        <v>54</v>
      </c>
      <c r="AI4" s="4" t="str">
        <f t="shared" si="3"/>
        <v>S19 (95T)</v>
      </c>
      <c r="AJ4" s="4" t="str">
        <f t="shared" si="4"/>
        <v>S19 (Vnish)</v>
      </c>
      <c r="AK4" s="4">
        <v>1</v>
      </c>
      <c r="AL4" s="4">
        <v>1</v>
      </c>
    </row>
    <row r="5" spans="1:38" x14ac:dyDescent="0.25">
      <c r="A5" s="4" t="s">
        <v>63</v>
      </c>
      <c r="B5" s="4">
        <v>90</v>
      </c>
      <c r="C5" s="4" t="s">
        <v>64</v>
      </c>
      <c r="D5" s="4" t="str">
        <f t="shared" si="0"/>
        <v>68</v>
      </c>
      <c r="E5" s="4" t="s">
        <v>59</v>
      </c>
      <c r="F5" s="4" t="s">
        <v>60</v>
      </c>
      <c r="G5" s="4" t="s">
        <v>38</v>
      </c>
      <c r="H5" s="4">
        <v>2020</v>
      </c>
      <c r="I5" s="4">
        <v>36</v>
      </c>
      <c r="J5" s="11">
        <f t="shared" si="1"/>
        <v>3240</v>
      </c>
      <c r="K5" s="11" t="s">
        <v>39</v>
      </c>
      <c r="L5" s="4" t="s">
        <v>61</v>
      </c>
      <c r="N5" s="4" t="s">
        <v>42</v>
      </c>
      <c r="O5" s="4">
        <v>76</v>
      </c>
      <c r="P5" s="4">
        <v>3</v>
      </c>
      <c r="Q5" s="4">
        <f t="shared" si="2"/>
        <v>228</v>
      </c>
      <c r="R5" s="4" t="s">
        <v>43</v>
      </c>
      <c r="S5" s="4" t="s">
        <v>601</v>
      </c>
      <c r="T5" s="4" t="s">
        <v>44</v>
      </c>
      <c r="U5" s="14">
        <v>0</v>
      </c>
      <c r="V5" s="4" t="s">
        <v>45</v>
      </c>
      <c r="W5" s="4">
        <v>4</v>
      </c>
      <c r="X5" s="4" t="s">
        <v>46</v>
      </c>
      <c r="Y5" s="4" t="s">
        <v>47</v>
      </c>
      <c r="Z5" s="4" t="s">
        <v>48</v>
      </c>
      <c r="AA5" s="4">
        <v>6000</v>
      </c>
      <c r="AB5" s="4" t="s">
        <v>62</v>
      </c>
      <c r="AC5" s="4" t="s">
        <v>50</v>
      </c>
      <c r="AD5" s="4" t="s">
        <v>51</v>
      </c>
      <c r="AE5" s="4" t="s">
        <v>52</v>
      </c>
      <c r="AF5" s="4" t="s">
        <v>46</v>
      </c>
      <c r="AG5" s="5" t="s">
        <v>53</v>
      </c>
      <c r="AH5" s="4" t="s">
        <v>54</v>
      </c>
      <c r="AI5" s="4" t="str">
        <f t="shared" si="3"/>
        <v>S19 (90T)</v>
      </c>
      <c r="AJ5" s="4" t="str">
        <f t="shared" si="4"/>
        <v>S19 (Vnish)</v>
      </c>
      <c r="AK5" s="4">
        <v>0</v>
      </c>
      <c r="AL5" s="4">
        <v>0</v>
      </c>
    </row>
    <row r="6" spans="1:38" x14ac:dyDescent="0.25">
      <c r="A6" s="4" t="s">
        <v>65</v>
      </c>
      <c r="B6" s="4">
        <v>88</v>
      </c>
      <c r="C6" s="4" t="s">
        <v>66</v>
      </c>
      <c r="D6" s="4" t="str">
        <f t="shared" si="0"/>
        <v>A0</v>
      </c>
      <c r="E6" s="4" t="s">
        <v>67</v>
      </c>
      <c r="F6" s="4" t="s">
        <v>68</v>
      </c>
      <c r="G6" s="4" t="s">
        <v>38</v>
      </c>
      <c r="H6" s="4">
        <v>2020</v>
      </c>
      <c r="I6" s="4">
        <v>37.5</v>
      </c>
      <c r="J6" s="11">
        <f t="shared" si="1"/>
        <v>3300</v>
      </c>
      <c r="K6" s="11" t="s">
        <v>39</v>
      </c>
      <c r="L6" s="4" t="s">
        <v>69</v>
      </c>
      <c r="N6" s="4" t="s">
        <v>42</v>
      </c>
      <c r="O6" s="4">
        <v>76</v>
      </c>
      <c r="P6" s="4">
        <v>3</v>
      </c>
      <c r="Q6" s="4">
        <f t="shared" si="2"/>
        <v>228</v>
      </c>
      <c r="R6" s="4" t="s">
        <v>43</v>
      </c>
      <c r="S6" s="4" t="s">
        <v>601</v>
      </c>
      <c r="T6" s="4" t="s">
        <v>44</v>
      </c>
      <c r="U6" s="14">
        <v>0</v>
      </c>
      <c r="V6" s="4" t="s">
        <v>45</v>
      </c>
      <c r="W6" s="4">
        <v>4</v>
      </c>
      <c r="X6" s="4" t="s">
        <v>46</v>
      </c>
      <c r="Y6" s="4" t="s">
        <v>47</v>
      </c>
      <c r="Z6" s="4" t="s">
        <v>48</v>
      </c>
      <c r="AA6" s="4">
        <v>6000</v>
      </c>
      <c r="AB6" s="4" t="s">
        <v>62</v>
      </c>
      <c r="AC6" s="4" t="s">
        <v>50</v>
      </c>
      <c r="AD6" s="4" t="s">
        <v>51</v>
      </c>
      <c r="AE6" s="4" t="s">
        <v>52</v>
      </c>
      <c r="AF6" s="4" t="s">
        <v>46</v>
      </c>
      <c r="AG6" s="5" t="s">
        <v>53</v>
      </c>
      <c r="AH6" s="4" t="s">
        <v>54</v>
      </c>
      <c r="AI6" s="4" t="str">
        <f t="shared" si="3"/>
        <v>T19 (88T)</v>
      </c>
      <c r="AJ6" s="4" t="str">
        <f t="shared" si="4"/>
        <v>T19 (Vnish)</v>
      </c>
      <c r="AK6" s="4">
        <v>0</v>
      </c>
      <c r="AL6" s="4">
        <v>0</v>
      </c>
    </row>
    <row r="7" spans="1:38" x14ac:dyDescent="0.25">
      <c r="A7" s="4" t="s">
        <v>70</v>
      </c>
      <c r="B7" s="4">
        <v>84</v>
      </c>
      <c r="C7" s="4" t="s">
        <v>71</v>
      </c>
      <c r="D7" s="4" t="str">
        <f t="shared" si="0"/>
        <v>A0</v>
      </c>
      <c r="E7" s="4" t="s">
        <v>67</v>
      </c>
      <c r="F7" s="4" t="s">
        <v>68</v>
      </c>
      <c r="G7" s="4" t="s">
        <v>38</v>
      </c>
      <c r="H7" s="4">
        <v>2020</v>
      </c>
      <c r="I7" s="4">
        <v>37.5</v>
      </c>
      <c r="J7" s="11">
        <f t="shared" si="1"/>
        <v>3150</v>
      </c>
      <c r="K7" s="11" t="s">
        <v>39</v>
      </c>
      <c r="L7" s="4" t="s">
        <v>69</v>
      </c>
      <c r="N7" s="4" t="s">
        <v>42</v>
      </c>
      <c r="O7" s="4">
        <v>76</v>
      </c>
      <c r="P7" s="4">
        <v>3</v>
      </c>
      <c r="Q7" s="4">
        <f t="shared" si="2"/>
        <v>228</v>
      </c>
      <c r="R7" s="4" t="s">
        <v>43</v>
      </c>
      <c r="S7" s="4" t="s">
        <v>601</v>
      </c>
      <c r="T7" s="4" t="s">
        <v>44</v>
      </c>
      <c r="U7" s="14">
        <v>0</v>
      </c>
      <c r="V7" s="4" t="s">
        <v>45</v>
      </c>
      <c r="W7" s="4">
        <v>4</v>
      </c>
      <c r="X7" s="4" t="s">
        <v>46</v>
      </c>
      <c r="Y7" s="4" t="s">
        <v>47</v>
      </c>
      <c r="Z7" s="4" t="s">
        <v>48</v>
      </c>
      <c r="AA7" s="4">
        <v>6000</v>
      </c>
      <c r="AB7" s="4" t="s">
        <v>62</v>
      </c>
      <c r="AC7" s="4" t="s">
        <v>50</v>
      </c>
      <c r="AD7" s="4" t="s">
        <v>51</v>
      </c>
      <c r="AE7" s="4" t="s">
        <v>52</v>
      </c>
      <c r="AF7" s="4" t="s">
        <v>46</v>
      </c>
      <c r="AG7" s="5" t="s">
        <v>53</v>
      </c>
      <c r="AH7" s="4" t="s">
        <v>54</v>
      </c>
      <c r="AI7" s="4" t="str">
        <f t="shared" si="3"/>
        <v>T19 (84T)</v>
      </c>
      <c r="AJ7" s="4" t="str">
        <f t="shared" si="4"/>
        <v>T19 (Vnish)</v>
      </c>
      <c r="AK7" s="4">
        <v>1</v>
      </c>
      <c r="AL7" s="4">
        <v>0</v>
      </c>
    </row>
    <row r="8" spans="1:38" x14ac:dyDescent="0.25">
      <c r="A8" s="4" t="s">
        <v>72</v>
      </c>
      <c r="B8" s="4">
        <v>120</v>
      </c>
      <c r="C8" s="4" t="s">
        <v>73</v>
      </c>
      <c r="D8" s="4" t="str">
        <f t="shared" si="0"/>
        <v>AD</v>
      </c>
      <c r="E8" s="4" t="s">
        <v>74</v>
      </c>
      <c r="F8" s="4" t="s">
        <v>75</v>
      </c>
      <c r="G8" s="4" t="s">
        <v>76</v>
      </c>
      <c r="H8" s="4">
        <v>2023</v>
      </c>
      <c r="I8" s="4">
        <v>27.5</v>
      </c>
      <c r="J8" s="11">
        <f t="shared" si="1"/>
        <v>3300</v>
      </c>
      <c r="K8" s="11" t="s">
        <v>39</v>
      </c>
      <c r="L8" s="4" t="s">
        <v>77</v>
      </c>
      <c r="M8" s="4" t="s">
        <v>78</v>
      </c>
      <c r="N8" s="4" t="s">
        <v>79</v>
      </c>
      <c r="O8" s="4">
        <v>120</v>
      </c>
      <c r="P8" s="4">
        <v>3</v>
      </c>
      <c r="Q8" s="4">
        <f t="shared" si="2"/>
        <v>360</v>
      </c>
      <c r="R8" s="4" t="s">
        <v>80</v>
      </c>
      <c r="S8" s="4" t="s">
        <v>600</v>
      </c>
      <c r="T8" s="4" t="s">
        <v>81</v>
      </c>
      <c r="U8" s="16">
        <v>1E-3</v>
      </c>
      <c r="V8" s="4" t="s">
        <v>45</v>
      </c>
      <c r="W8" s="4">
        <v>2</v>
      </c>
      <c r="X8" s="4" t="s">
        <v>54</v>
      </c>
      <c r="Y8" s="4" t="s">
        <v>82</v>
      </c>
      <c r="Z8" s="4" t="s">
        <v>48</v>
      </c>
      <c r="AA8" s="4">
        <v>6000</v>
      </c>
      <c r="AB8" s="4" t="s">
        <v>62</v>
      </c>
      <c r="AC8" s="4" t="s">
        <v>50</v>
      </c>
      <c r="AD8" s="4" t="s">
        <v>51</v>
      </c>
      <c r="AE8" s="4" t="s">
        <v>52</v>
      </c>
      <c r="AF8" s="4" t="s">
        <v>46</v>
      </c>
      <c r="AG8" s="5" t="s">
        <v>83</v>
      </c>
      <c r="AH8" s="4" t="s">
        <v>54</v>
      </c>
      <c r="AI8" s="4" t="str">
        <f t="shared" si="3"/>
        <v>S19j Pro+ (120T)</v>
      </c>
      <c r="AJ8" s="4" t="str">
        <f t="shared" si="4"/>
        <v>S19j Pro+ (Vnish)</v>
      </c>
      <c r="AK8" s="4">
        <v>1</v>
      </c>
      <c r="AL8" s="4">
        <v>1</v>
      </c>
    </row>
    <row r="9" spans="1:38" x14ac:dyDescent="0.25">
      <c r="A9" s="4" t="s">
        <v>84</v>
      </c>
      <c r="B9" s="4">
        <v>117</v>
      </c>
      <c r="C9" s="4" t="s">
        <v>85</v>
      </c>
      <c r="D9" s="4" t="str">
        <f t="shared" si="0"/>
        <v>AD</v>
      </c>
      <c r="E9" s="4" t="s">
        <v>74</v>
      </c>
      <c r="F9" s="4" t="s">
        <v>75</v>
      </c>
      <c r="G9" s="4" t="s">
        <v>76</v>
      </c>
      <c r="H9" s="4">
        <v>2023</v>
      </c>
      <c r="I9" s="4">
        <v>27.5</v>
      </c>
      <c r="J9" s="11">
        <f t="shared" si="1"/>
        <v>3217.5</v>
      </c>
      <c r="K9" s="11" t="s">
        <v>39</v>
      </c>
      <c r="L9" s="4" t="s">
        <v>77</v>
      </c>
      <c r="M9" s="4" t="s">
        <v>78</v>
      </c>
      <c r="N9" s="4" t="s">
        <v>79</v>
      </c>
      <c r="O9" s="4">
        <v>120</v>
      </c>
      <c r="P9" s="4">
        <v>3</v>
      </c>
      <c r="Q9" s="4">
        <f t="shared" si="2"/>
        <v>360</v>
      </c>
      <c r="R9" s="4" t="s">
        <v>80</v>
      </c>
      <c r="S9" s="4" t="s">
        <v>600</v>
      </c>
      <c r="T9" s="4" t="s">
        <v>81</v>
      </c>
      <c r="U9" s="16">
        <v>1E-3</v>
      </c>
      <c r="V9" s="4" t="s">
        <v>45</v>
      </c>
      <c r="W9" s="4">
        <v>2</v>
      </c>
      <c r="X9" s="4" t="s">
        <v>54</v>
      </c>
      <c r="Y9" s="4" t="s">
        <v>82</v>
      </c>
      <c r="Z9" s="4" t="s">
        <v>48</v>
      </c>
      <c r="AA9" s="4">
        <v>6000</v>
      </c>
      <c r="AB9" s="4" t="s">
        <v>62</v>
      </c>
      <c r="AC9" s="4" t="s">
        <v>50</v>
      </c>
      <c r="AD9" s="4" t="s">
        <v>51</v>
      </c>
      <c r="AE9" s="4" t="s">
        <v>52</v>
      </c>
      <c r="AF9" s="4" t="s">
        <v>46</v>
      </c>
      <c r="AG9" s="5" t="s">
        <v>83</v>
      </c>
      <c r="AH9" s="4" t="s">
        <v>54</v>
      </c>
      <c r="AI9" s="4" t="str">
        <f t="shared" si="3"/>
        <v>S19j Pro+ (117T)</v>
      </c>
      <c r="AJ9" s="4" t="str">
        <f t="shared" si="4"/>
        <v>S19j Pro+ (Vnish)</v>
      </c>
      <c r="AK9" s="4">
        <v>0</v>
      </c>
      <c r="AL9" s="4">
        <v>1</v>
      </c>
    </row>
    <row r="10" spans="1:38" x14ac:dyDescent="0.25">
      <c r="A10" s="4" t="s">
        <v>86</v>
      </c>
      <c r="B10" s="4">
        <v>113</v>
      </c>
      <c r="C10" s="4" t="s">
        <v>87</v>
      </c>
      <c r="D10" s="4" t="str">
        <f t="shared" si="0"/>
        <v>AD</v>
      </c>
      <c r="E10" s="4" t="s">
        <v>74</v>
      </c>
      <c r="F10" s="4" t="s">
        <v>75</v>
      </c>
      <c r="G10" s="4" t="s">
        <v>76</v>
      </c>
      <c r="H10" s="4">
        <v>2023</v>
      </c>
      <c r="I10" s="4">
        <v>27.5</v>
      </c>
      <c r="J10" s="11">
        <f t="shared" si="1"/>
        <v>3107.5</v>
      </c>
      <c r="K10" s="11" t="s">
        <v>39</v>
      </c>
      <c r="L10" s="4" t="s">
        <v>77</v>
      </c>
      <c r="M10" s="4" t="s">
        <v>78</v>
      </c>
      <c r="N10" s="4" t="s">
        <v>79</v>
      </c>
      <c r="O10" s="4">
        <v>120</v>
      </c>
      <c r="P10" s="4">
        <v>3</v>
      </c>
      <c r="Q10" s="4">
        <f t="shared" si="2"/>
        <v>360</v>
      </c>
      <c r="R10" s="4" t="s">
        <v>80</v>
      </c>
      <c r="S10" s="4" t="s">
        <v>600</v>
      </c>
      <c r="T10" s="4" t="s">
        <v>81</v>
      </c>
      <c r="U10" s="16">
        <v>1E-3</v>
      </c>
      <c r="V10" s="4" t="s">
        <v>45</v>
      </c>
      <c r="W10" s="4">
        <v>2</v>
      </c>
      <c r="X10" s="4" t="s">
        <v>54</v>
      </c>
      <c r="Y10" s="4" t="s">
        <v>82</v>
      </c>
      <c r="Z10" s="4" t="s">
        <v>48</v>
      </c>
      <c r="AA10" s="4">
        <v>6000</v>
      </c>
      <c r="AB10" s="4" t="s">
        <v>62</v>
      </c>
      <c r="AC10" s="4" t="s">
        <v>50</v>
      </c>
      <c r="AD10" s="4" t="s">
        <v>51</v>
      </c>
      <c r="AE10" s="4" t="s">
        <v>52</v>
      </c>
      <c r="AF10" s="4" t="s">
        <v>46</v>
      </c>
      <c r="AG10" s="5" t="s">
        <v>83</v>
      </c>
      <c r="AH10" s="4" t="s">
        <v>54</v>
      </c>
      <c r="AI10" s="4" t="str">
        <f t="shared" si="3"/>
        <v>S19j Pro+ (113T)</v>
      </c>
      <c r="AJ10" s="4" t="str">
        <f t="shared" si="4"/>
        <v>S19j Pro+ (Vnish)</v>
      </c>
      <c r="AK10" s="4">
        <v>0</v>
      </c>
      <c r="AL10" s="4">
        <v>0</v>
      </c>
    </row>
    <row r="11" spans="1:38" x14ac:dyDescent="0.25">
      <c r="A11" s="4" t="s">
        <v>88</v>
      </c>
      <c r="B11" s="4">
        <v>120</v>
      </c>
      <c r="C11" s="4" t="s">
        <v>89</v>
      </c>
      <c r="D11" s="4" t="str">
        <f t="shared" si="0"/>
        <v>AE</v>
      </c>
      <c r="E11" s="4" t="s">
        <v>90</v>
      </c>
      <c r="F11" s="4" t="s">
        <v>91</v>
      </c>
      <c r="G11" s="4" t="s">
        <v>76</v>
      </c>
      <c r="H11" s="4">
        <v>2023</v>
      </c>
      <c r="I11" s="4">
        <v>23</v>
      </c>
      <c r="J11" s="11">
        <f t="shared" si="1"/>
        <v>2760</v>
      </c>
      <c r="K11" s="11" t="s">
        <v>39</v>
      </c>
      <c r="L11" s="4" t="s">
        <v>92</v>
      </c>
      <c r="N11" s="4" t="s">
        <v>93</v>
      </c>
      <c r="O11" s="4">
        <v>77</v>
      </c>
      <c r="P11" s="4">
        <v>3</v>
      </c>
      <c r="Q11" s="4">
        <f t="shared" si="2"/>
        <v>231</v>
      </c>
      <c r="R11" s="4" t="s">
        <v>80</v>
      </c>
      <c r="S11" s="4" t="s">
        <v>600</v>
      </c>
      <c r="T11" s="4" t="s">
        <v>94</v>
      </c>
      <c r="U11" s="14">
        <v>0.5</v>
      </c>
      <c r="V11" s="4" t="s">
        <v>45</v>
      </c>
      <c r="W11" s="4">
        <v>2</v>
      </c>
      <c r="X11" s="4" t="s">
        <v>54</v>
      </c>
      <c r="Y11" s="4" t="s">
        <v>82</v>
      </c>
      <c r="Z11" s="4" t="s">
        <v>48</v>
      </c>
      <c r="AA11" s="4" t="s">
        <v>95</v>
      </c>
      <c r="AB11" s="4" t="s">
        <v>62</v>
      </c>
      <c r="AC11" s="4" t="s">
        <v>50</v>
      </c>
      <c r="AD11" s="4" t="s">
        <v>51</v>
      </c>
      <c r="AE11" s="4" t="s">
        <v>52</v>
      </c>
      <c r="AF11" s="4" t="s">
        <v>54</v>
      </c>
      <c r="AG11" s="5" t="s">
        <v>96</v>
      </c>
      <c r="AH11" s="4" t="s">
        <v>46</v>
      </c>
      <c r="AI11" s="4" t="str">
        <f t="shared" si="3"/>
        <v>S19k Pro (120T)</v>
      </c>
      <c r="AJ11" s="4" t="str">
        <f t="shared" si="4"/>
        <v>S19k Pro (Vnish)</v>
      </c>
      <c r="AK11" s="4">
        <v>1</v>
      </c>
      <c r="AL11" s="4">
        <v>0</v>
      </c>
    </row>
    <row r="12" spans="1:38" x14ac:dyDescent="0.25">
      <c r="A12" s="4" t="s">
        <v>97</v>
      </c>
      <c r="B12" s="4">
        <v>115</v>
      </c>
      <c r="C12" s="4" t="s">
        <v>98</v>
      </c>
      <c r="D12" s="4" t="str">
        <f t="shared" si="0"/>
        <v>AE</v>
      </c>
      <c r="E12" s="4" t="s">
        <v>90</v>
      </c>
      <c r="F12" s="4" t="s">
        <v>91</v>
      </c>
      <c r="G12" s="4" t="s">
        <v>76</v>
      </c>
      <c r="H12" s="4">
        <v>2023</v>
      </c>
      <c r="I12" s="4">
        <v>23</v>
      </c>
      <c r="J12" s="11">
        <f t="shared" si="1"/>
        <v>2645</v>
      </c>
      <c r="K12" s="11" t="s">
        <v>39</v>
      </c>
      <c r="L12" s="4" t="s">
        <v>92</v>
      </c>
      <c r="N12" s="4" t="s">
        <v>93</v>
      </c>
      <c r="O12" s="4">
        <v>77</v>
      </c>
      <c r="P12" s="4">
        <v>3</v>
      </c>
      <c r="Q12" s="4">
        <f t="shared" si="2"/>
        <v>231</v>
      </c>
      <c r="R12" s="4" t="s">
        <v>80</v>
      </c>
      <c r="S12" s="4" t="s">
        <v>600</v>
      </c>
      <c r="T12" s="4" t="s">
        <v>94</v>
      </c>
      <c r="U12" s="14">
        <v>0.5</v>
      </c>
      <c r="V12" s="4" t="s">
        <v>45</v>
      </c>
      <c r="W12" s="4">
        <v>2</v>
      </c>
      <c r="X12" s="4" t="s">
        <v>54</v>
      </c>
      <c r="Y12" s="4" t="s">
        <v>82</v>
      </c>
      <c r="Z12" s="4" t="s">
        <v>48</v>
      </c>
      <c r="AA12" s="4" t="s">
        <v>95</v>
      </c>
      <c r="AB12" s="4" t="s">
        <v>62</v>
      </c>
      <c r="AC12" s="4" t="s">
        <v>50</v>
      </c>
      <c r="AD12" s="4" t="s">
        <v>51</v>
      </c>
      <c r="AE12" s="4" t="s">
        <v>52</v>
      </c>
      <c r="AF12" s="4" t="s">
        <v>54</v>
      </c>
      <c r="AG12" s="5" t="s">
        <v>96</v>
      </c>
      <c r="AH12" s="4" t="s">
        <v>46</v>
      </c>
      <c r="AI12" s="4" t="str">
        <f t="shared" si="3"/>
        <v>S19k Pro (115T)</v>
      </c>
      <c r="AJ12" s="4" t="str">
        <f t="shared" si="4"/>
        <v>S19k Pro (Vnish)</v>
      </c>
      <c r="AK12" s="4">
        <v>0</v>
      </c>
      <c r="AL12" s="4">
        <v>0</v>
      </c>
    </row>
    <row r="13" spans="1:38" x14ac:dyDescent="0.25">
      <c r="A13" s="4" t="s">
        <v>99</v>
      </c>
      <c r="B13" s="4">
        <v>110</v>
      </c>
      <c r="C13" s="4" t="s">
        <v>100</v>
      </c>
      <c r="D13" s="4" t="str">
        <f t="shared" si="0"/>
        <v>AE</v>
      </c>
      <c r="E13" s="4" t="s">
        <v>90</v>
      </c>
      <c r="F13" s="4" t="s">
        <v>91</v>
      </c>
      <c r="G13" s="4" t="s">
        <v>76</v>
      </c>
      <c r="H13" s="4">
        <v>2023</v>
      </c>
      <c r="I13" s="4">
        <v>23</v>
      </c>
      <c r="J13" s="11">
        <f t="shared" si="1"/>
        <v>2530</v>
      </c>
      <c r="K13" s="11" t="s">
        <v>39</v>
      </c>
      <c r="L13" s="4" t="s">
        <v>92</v>
      </c>
      <c r="N13" s="4" t="s">
        <v>93</v>
      </c>
      <c r="O13" s="4">
        <v>77</v>
      </c>
      <c r="P13" s="4">
        <v>3</v>
      </c>
      <c r="Q13" s="4">
        <f t="shared" si="2"/>
        <v>231</v>
      </c>
      <c r="R13" s="4" t="s">
        <v>80</v>
      </c>
      <c r="S13" s="4" t="s">
        <v>600</v>
      </c>
      <c r="T13" s="4" t="s">
        <v>94</v>
      </c>
      <c r="U13" s="14">
        <v>0.5</v>
      </c>
      <c r="V13" s="4" t="s">
        <v>45</v>
      </c>
      <c r="W13" s="4">
        <v>2</v>
      </c>
      <c r="X13" s="4" t="s">
        <v>54</v>
      </c>
      <c r="Y13" s="4" t="s">
        <v>82</v>
      </c>
      <c r="Z13" s="4" t="s">
        <v>48</v>
      </c>
      <c r="AA13" s="4" t="s">
        <v>95</v>
      </c>
      <c r="AB13" s="4" t="s">
        <v>62</v>
      </c>
      <c r="AC13" s="4" t="s">
        <v>50</v>
      </c>
      <c r="AD13" s="4" t="s">
        <v>51</v>
      </c>
      <c r="AE13" s="4" t="s">
        <v>52</v>
      </c>
      <c r="AF13" s="4" t="s">
        <v>54</v>
      </c>
      <c r="AG13" s="5" t="s">
        <v>96</v>
      </c>
      <c r="AH13" s="4" t="s">
        <v>46</v>
      </c>
      <c r="AI13" s="4" t="str">
        <f t="shared" si="3"/>
        <v>S19k Pro (110T)</v>
      </c>
      <c r="AJ13" s="4" t="str">
        <f t="shared" si="4"/>
        <v>S19k Pro (Vnish)</v>
      </c>
      <c r="AK13" s="4">
        <v>0</v>
      </c>
      <c r="AL13" s="4">
        <v>0</v>
      </c>
    </row>
    <row r="14" spans="1:38" x14ac:dyDescent="0.25">
      <c r="A14" s="4" t="s">
        <v>101</v>
      </c>
      <c r="B14" s="4">
        <v>335</v>
      </c>
      <c r="C14" s="4" t="s">
        <v>102</v>
      </c>
      <c r="D14" s="4" t="s">
        <v>103</v>
      </c>
      <c r="E14" s="4" t="s">
        <v>104</v>
      </c>
      <c r="F14" s="4" t="s">
        <v>105</v>
      </c>
      <c r="G14" s="4" t="s">
        <v>106</v>
      </c>
      <c r="H14" s="4">
        <v>2024</v>
      </c>
      <c r="I14" s="4">
        <v>16</v>
      </c>
      <c r="J14" s="4">
        <f t="shared" si="1"/>
        <v>5360</v>
      </c>
      <c r="K14" s="4" t="s">
        <v>107</v>
      </c>
      <c r="L14" s="4" t="s">
        <v>108</v>
      </c>
      <c r="N14" s="4" t="s">
        <v>109</v>
      </c>
      <c r="O14" s="4">
        <v>216</v>
      </c>
      <c r="P14" s="4">
        <v>3</v>
      </c>
      <c r="Q14" s="4">
        <f t="shared" si="2"/>
        <v>648</v>
      </c>
      <c r="R14" s="4" t="s">
        <v>603</v>
      </c>
      <c r="S14" s="4" t="s">
        <v>115</v>
      </c>
      <c r="T14" s="4" t="s">
        <v>110</v>
      </c>
      <c r="U14" s="14">
        <v>0</v>
      </c>
      <c r="V14" s="4" t="s">
        <v>45</v>
      </c>
      <c r="W14" s="4">
        <v>2</v>
      </c>
      <c r="X14" s="4" t="s">
        <v>54</v>
      </c>
      <c r="Y14" s="4" t="s">
        <v>111</v>
      </c>
      <c r="Z14" s="4" t="s">
        <v>96</v>
      </c>
      <c r="AA14" s="4" t="s">
        <v>96</v>
      </c>
      <c r="AB14" s="4" t="s">
        <v>112</v>
      </c>
      <c r="AC14" s="4" t="s">
        <v>112</v>
      </c>
      <c r="AD14" s="4" t="s">
        <v>113</v>
      </c>
      <c r="AE14" s="4" t="s">
        <v>114</v>
      </c>
      <c r="AF14" s="4" t="s">
        <v>54</v>
      </c>
      <c r="AG14" s="5" t="s">
        <v>96</v>
      </c>
      <c r="AH14" s="4" t="s">
        <v>115</v>
      </c>
      <c r="AI14" s="4" t="str">
        <f t="shared" si="3"/>
        <v>S21 Hyd. (335T)</v>
      </c>
      <c r="AJ14" s="4" t="str">
        <f t="shared" si="4"/>
        <v>S21 Hyd. (Vnish)</v>
      </c>
      <c r="AK14" s="4">
        <v>1</v>
      </c>
      <c r="AL14" s="4">
        <v>0</v>
      </c>
    </row>
    <row r="15" spans="1:38" x14ac:dyDescent="0.25">
      <c r="A15" s="4" t="s">
        <v>116</v>
      </c>
      <c r="B15" s="4">
        <v>319</v>
      </c>
      <c r="C15" s="4" t="s">
        <v>117</v>
      </c>
      <c r="D15" s="4" t="s">
        <v>103</v>
      </c>
      <c r="E15" s="4" t="s">
        <v>104</v>
      </c>
      <c r="F15" s="4" t="s">
        <v>105</v>
      </c>
      <c r="G15" s="4" t="s">
        <v>106</v>
      </c>
      <c r="H15" s="4">
        <v>2024</v>
      </c>
      <c r="I15" s="4">
        <v>16</v>
      </c>
      <c r="J15" s="4">
        <f t="shared" si="1"/>
        <v>5104</v>
      </c>
      <c r="K15" s="4" t="s">
        <v>107</v>
      </c>
      <c r="L15" s="4" t="s">
        <v>108</v>
      </c>
      <c r="N15" s="4" t="s">
        <v>109</v>
      </c>
      <c r="O15" s="4">
        <v>216</v>
      </c>
      <c r="P15" s="4">
        <v>3</v>
      </c>
      <c r="Q15" s="4">
        <f t="shared" si="2"/>
        <v>648</v>
      </c>
      <c r="R15" s="4" t="s">
        <v>603</v>
      </c>
      <c r="S15" s="4" t="s">
        <v>115</v>
      </c>
      <c r="T15" s="4" t="s">
        <v>110</v>
      </c>
      <c r="U15" s="14">
        <v>0</v>
      </c>
      <c r="V15" s="4" t="s">
        <v>45</v>
      </c>
      <c r="W15" s="4">
        <v>2</v>
      </c>
      <c r="X15" s="4" t="s">
        <v>54</v>
      </c>
      <c r="Y15" s="4" t="s">
        <v>111</v>
      </c>
      <c r="Z15" s="4" t="s">
        <v>96</v>
      </c>
      <c r="AA15" s="4" t="s">
        <v>96</v>
      </c>
      <c r="AB15" s="4" t="s">
        <v>112</v>
      </c>
      <c r="AC15" s="4" t="s">
        <v>112</v>
      </c>
      <c r="AD15" s="4" t="s">
        <v>113</v>
      </c>
      <c r="AE15" s="4" t="s">
        <v>114</v>
      </c>
      <c r="AF15" s="4" t="s">
        <v>54</v>
      </c>
      <c r="AG15" s="5" t="s">
        <v>96</v>
      </c>
      <c r="AH15" s="4" t="s">
        <v>115</v>
      </c>
      <c r="AI15" s="4" t="str">
        <f t="shared" si="3"/>
        <v>S21 Hyd. (319T)</v>
      </c>
      <c r="AJ15" s="4" t="str">
        <f t="shared" si="4"/>
        <v>S21 Hyd. (Vnish)</v>
      </c>
      <c r="AK15" s="4">
        <v>0</v>
      </c>
      <c r="AL15" s="4">
        <v>0</v>
      </c>
    </row>
    <row r="16" spans="1:38" x14ac:dyDescent="0.25">
      <c r="A16" s="4" t="s">
        <v>118</v>
      </c>
      <c r="B16" s="4">
        <v>151</v>
      </c>
      <c r="C16" s="4" t="s">
        <v>119</v>
      </c>
      <c r="D16" s="4" t="s">
        <v>120</v>
      </c>
      <c r="E16" s="4" t="s">
        <v>121</v>
      </c>
      <c r="F16" s="4" t="s">
        <v>122</v>
      </c>
      <c r="G16" s="4" t="s">
        <v>76</v>
      </c>
      <c r="H16" s="4">
        <v>2023</v>
      </c>
      <c r="I16" s="4">
        <v>21.5</v>
      </c>
      <c r="J16" s="11">
        <f t="shared" si="1"/>
        <v>3246.5</v>
      </c>
      <c r="K16" s="11" t="s">
        <v>39</v>
      </c>
      <c r="L16" s="4" t="s">
        <v>115</v>
      </c>
      <c r="N16" s="4" t="s">
        <v>93</v>
      </c>
      <c r="O16" s="4">
        <v>110</v>
      </c>
      <c r="P16" s="4">
        <v>3</v>
      </c>
      <c r="Q16" s="4">
        <f t="shared" si="2"/>
        <v>330</v>
      </c>
      <c r="R16" s="4" t="s">
        <v>123</v>
      </c>
      <c r="S16" s="4" t="s">
        <v>599</v>
      </c>
      <c r="T16" s="4" t="s">
        <v>94</v>
      </c>
      <c r="U16" s="14">
        <v>0.5</v>
      </c>
      <c r="V16" s="4" t="s">
        <v>124</v>
      </c>
      <c r="W16" s="4">
        <v>2</v>
      </c>
      <c r="X16" s="4" t="s">
        <v>54</v>
      </c>
      <c r="Y16" s="4" t="s">
        <v>47</v>
      </c>
      <c r="Z16" s="4" t="s">
        <v>48</v>
      </c>
      <c r="AA16" s="4">
        <v>6000</v>
      </c>
      <c r="AB16" s="4" t="s">
        <v>62</v>
      </c>
      <c r="AC16" s="4" t="s">
        <v>50</v>
      </c>
      <c r="AD16" s="4" t="s">
        <v>125</v>
      </c>
      <c r="AE16" s="4" t="s">
        <v>126</v>
      </c>
      <c r="AF16" s="4" t="s">
        <v>115</v>
      </c>
      <c r="AG16" s="4" t="s">
        <v>115</v>
      </c>
      <c r="AH16" s="4" t="s">
        <v>115</v>
      </c>
      <c r="AI16" s="4" t="str">
        <f t="shared" si="3"/>
        <v>S19j XP (151T)</v>
      </c>
      <c r="AJ16" s="4" t="str">
        <f t="shared" si="4"/>
        <v>S19j XP (Vnish)</v>
      </c>
      <c r="AK16" s="4">
        <v>1</v>
      </c>
      <c r="AL16" s="4">
        <v>0</v>
      </c>
    </row>
    <row r="17" spans="1:38" x14ac:dyDescent="0.25">
      <c r="A17" s="4" t="s">
        <v>127</v>
      </c>
      <c r="B17" s="4">
        <v>200</v>
      </c>
      <c r="C17" s="4" t="s">
        <v>128</v>
      </c>
      <c r="D17" s="4" t="str">
        <f t="shared" ref="D17:D46" si="5">MID(A17,1,2)</f>
        <v>AT</v>
      </c>
      <c r="E17" s="4" t="s">
        <v>129</v>
      </c>
      <c r="F17" s="4" t="s">
        <v>130</v>
      </c>
      <c r="G17" s="4" t="s">
        <v>131</v>
      </c>
      <c r="H17" s="4" t="s">
        <v>132</v>
      </c>
      <c r="I17" s="4">
        <v>17.5</v>
      </c>
      <c r="J17" s="11">
        <f t="shared" si="1"/>
        <v>3500</v>
      </c>
      <c r="K17" s="11" t="s">
        <v>39</v>
      </c>
      <c r="L17" s="4" t="s">
        <v>133</v>
      </c>
      <c r="M17" s="4" t="s">
        <v>134</v>
      </c>
      <c r="N17" s="4" t="s">
        <v>109</v>
      </c>
      <c r="O17" s="4">
        <v>108</v>
      </c>
      <c r="P17" s="4">
        <v>3</v>
      </c>
      <c r="Q17" s="4">
        <f t="shared" si="2"/>
        <v>324</v>
      </c>
      <c r="R17" s="4" t="s">
        <v>123</v>
      </c>
      <c r="S17" s="4" t="s">
        <v>599</v>
      </c>
      <c r="T17" s="4" t="s">
        <v>135</v>
      </c>
      <c r="U17" s="14">
        <v>0</v>
      </c>
      <c r="V17" s="4" t="s">
        <v>124</v>
      </c>
      <c r="W17" s="4">
        <v>2</v>
      </c>
      <c r="X17" s="4" t="s">
        <v>54</v>
      </c>
      <c r="Y17" s="4" t="s">
        <v>47</v>
      </c>
      <c r="Z17" s="4" t="s">
        <v>48</v>
      </c>
      <c r="AA17" s="4">
        <v>7000</v>
      </c>
      <c r="AB17" s="4" t="s">
        <v>62</v>
      </c>
      <c r="AC17" s="4" t="s">
        <v>50</v>
      </c>
      <c r="AD17" s="4" t="s">
        <v>125</v>
      </c>
      <c r="AE17" s="4" t="s">
        <v>126</v>
      </c>
      <c r="AF17" s="4" t="s">
        <v>46</v>
      </c>
      <c r="AG17" s="5" t="s">
        <v>83</v>
      </c>
      <c r="AH17" s="4" t="s">
        <v>54</v>
      </c>
      <c r="AI17" s="4" t="str">
        <f t="shared" si="3"/>
        <v>S21 (200T)</v>
      </c>
      <c r="AJ17" s="4" t="str">
        <f t="shared" si="4"/>
        <v>S21 (Vnish)</v>
      </c>
      <c r="AK17" s="4">
        <v>1</v>
      </c>
      <c r="AL17" s="4">
        <v>1</v>
      </c>
    </row>
    <row r="18" spans="1:38" x14ac:dyDescent="0.25">
      <c r="A18" s="4" t="s">
        <v>136</v>
      </c>
      <c r="B18" s="4">
        <v>188</v>
      </c>
      <c r="C18" s="4" t="s">
        <v>137</v>
      </c>
      <c r="D18" s="4" t="str">
        <f t="shared" si="5"/>
        <v>AT</v>
      </c>
      <c r="E18" s="4" t="s">
        <v>129</v>
      </c>
      <c r="F18" s="4" t="s">
        <v>130</v>
      </c>
      <c r="G18" s="4" t="s">
        <v>131</v>
      </c>
      <c r="H18" s="4" t="s">
        <v>132</v>
      </c>
      <c r="I18" s="4">
        <v>17.5</v>
      </c>
      <c r="J18" s="11">
        <f t="shared" si="1"/>
        <v>3290</v>
      </c>
      <c r="K18" s="11" t="s">
        <v>39</v>
      </c>
      <c r="L18" s="4" t="s">
        <v>133</v>
      </c>
      <c r="M18" s="4" t="s">
        <v>134</v>
      </c>
      <c r="N18" s="4" t="s">
        <v>109</v>
      </c>
      <c r="O18" s="4">
        <v>108</v>
      </c>
      <c r="P18" s="4">
        <v>3</v>
      </c>
      <c r="Q18" s="4">
        <f t="shared" si="2"/>
        <v>324</v>
      </c>
      <c r="R18" s="4" t="s">
        <v>123</v>
      </c>
      <c r="S18" s="4" t="s">
        <v>599</v>
      </c>
      <c r="T18" s="4" t="s">
        <v>135</v>
      </c>
      <c r="U18" s="14">
        <v>0</v>
      </c>
      <c r="V18" s="4" t="s">
        <v>124</v>
      </c>
      <c r="W18" s="4">
        <v>2</v>
      </c>
      <c r="X18" s="4" t="s">
        <v>54</v>
      </c>
      <c r="Y18" s="4" t="s">
        <v>47</v>
      </c>
      <c r="Z18" s="4" t="s">
        <v>48</v>
      </c>
      <c r="AA18" s="4">
        <v>7000</v>
      </c>
      <c r="AB18" s="4" t="s">
        <v>62</v>
      </c>
      <c r="AC18" s="4" t="s">
        <v>50</v>
      </c>
      <c r="AD18" s="4" t="s">
        <v>125</v>
      </c>
      <c r="AE18" s="4" t="s">
        <v>126</v>
      </c>
      <c r="AF18" s="4" t="s">
        <v>46</v>
      </c>
      <c r="AG18" s="5" t="s">
        <v>83</v>
      </c>
      <c r="AH18" s="4" t="s">
        <v>54</v>
      </c>
      <c r="AI18" s="4" t="str">
        <f t="shared" si="3"/>
        <v>S21 (188T)</v>
      </c>
      <c r="AJ18" s="4" t="str">
        <f t="shared" si="4"/>
        <v>S21 (Vnish)</v>
      </c>
      <c r="AK18" s="4">
        <v>0</v>
      </c>
      <c r="AL18" s="4">
        <v>1</v>
      </c>
    </row>
    <row r="19" spans="1:38" x14ac:dyDescent="0.25">
      <c r="A19" s="4" t="s">
        <v>138</v>
      </c>
      <c r="B19" s="4">
        <v>195</v>
      </c>
      <c r="C19" s="4" t="s">
        <v>139</v>
      </c>
      <c r="D19" s="4" t="str">
        <f t="shared" si="5"/>
        <v>AT</v>
      </c>
      <c r="E19" s="4" t="s">
        <v>129</v>
      </c>
      <c r="F19" s="4" t="s">
        <v>130</v>
      </c>
      <c r="G19" s="4" t="s">
        <v>131</v>
      </c>
      <c r="H19" s="4" t="s">
        <v>132</v>
      </c>
      <c r="I19" s="4">
        <v>17.5</v>
      </c>
      <c r="J19" s="11">
        <f t="shared" si="1"/>
        <v>3412.5</v>
      </c>
      <c r="K19" s="11" t="s">
        <v>39</v>
      </c>
      <c r="L19" s="4" t="s">
        <v>133</v>
      </c>
      <c r="M19" s="4" t="s">
        <v>134</v>
      </c>
      <c r="N19" s="4" t="s">
        <v>109</v>
      </c>
      <c r="O19" s="4">
        <v>108</v>
      </c>
      <c r="P19" s="4">
        <v>3</v>
      </c>
      <c r="Q19" s="4">
        <f t="shared" si="2"/>
        <v>324</v>
      </c>
      <c r="R19" s="4" t="s">
        <v>123</v>
      </c>
      <c r="S19" s="4" t="s">
        <v>599</v>
      </c>
      <c r="T19" s="4" t="s">
        <v>135</v>
      </c>
      <c r="U19" s="14">
        <v>0</v>
      </c>
      <c r="V19" s="4" t="s">
        <v>124</v>
      </c>
      <c r="W19" s="4">
        <v>2</v>
      </c>
      <c r="X19" s="4" t="s">
        <v>54</v>
      </c>
      <c r="Y19" s="4" t="s">
        <v>47</v>
      </c>
      <c r="Z19" s="4" t="s">
        <v>48</v>
      </c>
      <c r="AA19" s="4">
        <v>7000</v>
      </c>
      <c r="AB19" s="4" t="s">
        <v>62</v>
      </c>
      <c r="AC19" s="4" t="s">
        <v>50</v>
      </c>
      <c r="AD19" s="4" t="s">
        <v>125</v>
      </c>
      <c r="AE19" s="4" t="s">
        <v>126</v>
      </c>
      <c r="AF19" s="4" t="s">
        <v>46</v>
      </c>
      <c r="AG19" s="5" t="s">
        <v>83</v>
      </c>
      <c r="AH19" s="4" t="s">
        <v>54</v>
      </c>
      <c r="AI19" s="4" t="str">
        <f t="shared" si="3"/>
        <v>S21 (195T)</v>
      </c>
      <c r="AJ19" s="4" t="str">
        <f t="shared" si="4"/>
        <v>S21 (Vnish)</v>
      </c>
      <c r="AK19" s="4">
        <v>0</v>
      </c>
      <c r="AL19" s="4">
        <v>1</v>
      </c>
    </row>
    <row r="20" spans="1:38" x14ac:dyDescent="0.25">
      <c r="A20" s="4" t="s">
        <v>140</v>
      </c>
      <c r="B20" s="4">
        <v>141</v>
      </c>
      <c r="C20" s="4" t="s">
        <v>141</v>
      </c>
      <c r="D20" s="4" t="str">
        <f t="shared" si="5"/>
        <v>AW</v>
      </c>
      <c r="E20" s="4" t="s">
        <v>142</v>
      </c>
      <c r="F20" s="4" t="s">
        <v>143</v>
      </c>
      <c r="G20" s="4" t="s">
        <v>76</v>
      </c>
      <c r="H20" s="4">
        <v>2023</v>
      </c>
      <c r="I20" s="4">
        <v>21.5</v>
      </c>
      <c r="J20" s="11">
        <f t="shared" si="1"/>
        <v>3031.5</v>
      </c>
      <c r="K20" s="11" t="s">
        <v>39</v>
      </c>
      <c r="L20" s="4" t="s">
        <v>144</v>
      </c>
      <c r="M20" s="4" t="s">
        <v>145</v>
      </c>
      <c r="N20" s="4" t="s">
        <v>93</v>
      </c>
      <c r="O20" s="4">
        <v>110</v>
      </c>
      <c r="P20" s="4">
        <v>3</v>
      </c>
      <c r="Q20" s="4">
        <f t="shared" si="2"/>
        <v>330</v>
      </c>
      <c r="R20" s="4" t="s">
        <v>80</v>
      </c>
      <c r="S20" s="4" t="s">
        <v>600</v>
      </c>
      <c r="T20" s="4" t="s">
        <v>94</v>
      </c>
      <c r="U20" s="14">
        <v>0.5</v>
      </c>
      <c r="V20" s="4" t="s">
        <v>124</v>
      </c>
      <c r="W20" s="4">
        <v>2</v>
      </c>
      <c r="X20" s="4" t="s">
        <v>54</v>
      </c>
      <c r="Y20" s="4" t="s">
        <v>47</v>
      </c>
      <c r="Z20" s="4" t="s">
        <v>48</v>
      </c>
      <c r="AA20" s="4">
        <v>6000</v>
      </c>
      <c r="AB20" s="4" t="s">
        <v>62</v>
      </c>
      <c r="AC20" s="4" t="s">
        <v>50</v>
      </c>
      <c r="AD20" s="4" t="s">
        <v>51</v>
      </c>
      <c r="AE20" s="4" t="s">
        <v>52</v>
      </c>
      <c r="AF20" s="4" t="s">
        <v>46</v>
      </c>
      <c r="AG20" s="5" t="s">
        <v>146</v>
      </c>
      <c r="AH20" s="4" t="s">
        <v>54</v>
      </c>
      <c r="AI20" s="4" t="str">
        <f t="shared" si="3"/>
        <v>S19 XP (141T)</v>
      </c>
      <c r="AJ20" s="4" t="str">
        <f t="shared" si="4"/>
        <v>S19 XP (Vnish)</v>
      </c>
      <c r="AK20" s="4">
        <v>0</v>
      </c>
      <c r="AL20" s="4">
        <v>1</v>
      </c>
    </row>
    <row r="21" spans="1:38" x14ac:dyDescent="0.25">
      <c r="A21" s="4" t="s">
        <v>147</v>
      </c>
      <c r="B21" s="4">
        <v>134</v>
      </c>
      <c r="C21" s="4" t="s">
        <v>148</v>
      </c>
      <c r="D21" s="4" t="str">
        <f t="shared" si="5"/>
        <v>AW</v>
      </c>
      <c r="E21" s="4" t="s">
        <v>142</v>
      </c>
      <c r="F21" s="4" t="s">
        <v>143</v>
      </c>
      <c r="G21" s="4" t="s">
        <v>76</v>
      </c>
      <c r="H21" s="4">
        <v>2023</v>
      </c>
      <c r="I21" s="4">
        <v>21.5</v>
      </c>
      <c r="J21" s="11">
        <f t="shared" si="1"/>
        <v>2881</v>
      </c>
      <c r="K21" s="11" t="s">
        <v>39</v>
      </c>
      <c r="L21" s="4" t="s">
        <v>144</v>
      </c>
      <c r="M21" s="4" t="s">
        <v>145</v>
      </c>
      <c r="N21" s="4" t="s">
        <v>93</v>
      </c>
      <c r="O21" s="4">
        <v>110</v>
      </c>
      <c r="P21" s="4">
        <v>3</v>
      </c>
      <c r="Q21" s="4">
        <f t="shared" si="2"/>
        <v>330</v>
      </c>
      <c r="R21" s="4" t="s">
        <v>80</v>
      </c>
      <c r="S21" s="4" t="s">
        <v>600</v>
      </c>
      <c r="T21" s="4" t="s">
        <v>94</v>
      </c>
      <c r="U21" s="14">
        <v>0.5</v>
      </c>
      <c r="V21" s="4" t="s">
        <v>124</v>
      </c>
      <c r="W21" s="4">
        <v>2</v>
      </c>
      <c r="X21" s="4" t="s">
        <v>54</v>
      </c>
      <c r="Y21" s="4" t="s">
        <v>47</v>
      </c>
      <c r="Z21" s="4" t="s">
        <v>48</v>
      </c>
      <c r="AA21" s="4">
        <v>6000</v>
      </c>
      <c r="AB21" s="4" t="s">
        <v>62</v>
      </c>
      <c r="AC21" s="4" t="s">
        <v>50</v>
      </c>
      <c r="AD21" s="4" t="s">
        <v>51</v>
      </c>
      <c r="AE21" s="4" t="s">
        <v>52</v>
      </c>
      <c r="AF21" s="4" t="s">
        <v>46</v>
      </c>
      <c r="AG21" s="5" t="s">
        <v>146</v>
      </c>
      <c r="AH21" s="4" t="s">
        <v>54</v>
      </c>
      <c r="AI21" s="4" t="str">
        <f t="shared" si="3"/>
        <v>S19 XP (134T)</v>
      </c>
      <c r="AJ21" s="4" t="str">
        <f t="shared" si="4"/>
        <v>S19 XP (Vnish)</v>
      </c>
      <c r="AK21" s="4">
        <v>0</v>
      </c>
      <c r="AL21" s="4">
        <v>1</v>
      </c>
    </row>
    <row r="22" spans="1:38" x14ac:dyDescent="0.25">
      <c r="A22" s="4" t="s">
        <v>149</v>
      </c>
      <c r="B22" s="4">
        <v>127</v>
      </c>
      <c r="C22" s="4" t="s">
        <v>150</v>
      </c>
      <c r="D22" s="4" t="str">
        <f t="shared" si="5"/>
        <v>AW</v>
      </c>
      <c r="E22" s="4" t="s">
        <v>142</v>
      </c>
      <c r="F22" s="4" t="s">
        <v>143</v>
      </c>
      <c r="G22" s="4" t="s">
        <v>76</v>
      </c>
      <c r="H22" s="4">
        <v>2023</v>
      </c>
      <c r="I22" s="4">
        <v>21.5</v>
      </c>
      <c r="J22" s="11">
        <f t="shared" si="1"/>
        <v>2730.5</v>
      </c>
      <c r="K22" s="11" t="s">
        <v>39</v>
      </c>
      <c r="L22" s="4" t="s">
        <v>144</v>
      </c>
      <c r="M22" s="4" t="s">
        <v>145</v>
      </c>
      <c r="N22" s="4" t="s">
        <v>93</v>
      </c>
      <c r="O22" s="4">
        <v>110</v>
      </c>
      <c r="P22" s="4">
        <v>3</v>
      </c>
      <c r="Q22" s="4">
        <f t="shared" si="2"/>
        <v>330</v>
      </c>
      <c r="R22" s="4" t="s">
        <v>80</v>
      </c>
      <c r="S22" s="4" t="s">
        <v>600</v>
      </c>
      <c r="T22" s="4" t="s">
        <v>94</v>
      </c>
      <c r="U22" s="14">
        <v>0.5</v>
      </c>
      <c r="V22" s="4" t="s">
        <v>124</v>
      </c>
      <c r="W22" s="4">
        <v>2</v>
      </c>
      <c r="X22" s="4" t="s">
        <v>54</v>
      </c>
      <c r="Y22" s="4" t="s">
        <v>47</v>
      </c>
      <c r="Z22" s="4" t="s">
        <v>48</v>
      </c>
      <c r="AA22" s="4">
        <v>6000</v>
      </c>
      <c r="AB22" s="4" t="s">
        <v>62</v>
      </c>
      <c r="AC22" s="4" t="s">
        <v>50</v>
      </c>
      <c r="AD22" s="4" t="s">
        <v>51</v>
      </c>
      <c r="AE22" s="4" t="s">
        <v>52</v>
      </c>
      <c r="AF22" s="4" t="s">
        <v>46</v>
      </c>
      <c r="AG22" s="5" t="s">
        <v>146</v>
      </c>
      <c r="AH22" s="4" t="s">
        <v>54</v>
      </c>
      <c r="AI22" s="4" t="str">
        <f t="shared" si="3"/>
        <v>S19 XP (127T)</v>
      </c>
      <c r="AJ22" s="4" t="str">
        <f t="shared" si="4"/>
        <v>S19 XP (Vnish)</v>
      </c>
      <c r="AK22" s="4">
        <v>0</v>
      </c>
      <c r="AL22" s="4">
        <v>1</v>
      </c>
    </row>
    <row r="23" spans="1:38" x14ac:dyDescent="0.25">
      <c r="A23" s="4" t="s">
        <v>151</v>
      </c>
      <c r="B23" s="4">
        <v>120</v>
      </c>
      <c r="C23" s="4" t="s">
        <v>89</v>
      </c>
      <c r="D23" s="4" t="str">
        <f t="shared" si="5"/>
        <v>B0</v>
      </c>
      <c r="E23" s="4" t="s">
        <v>90</v>
      </c>
      <c r="F23" s="4" t="s">
        <v>152</v>
      </c>
      <c r="G23" s="4" t="s">
        <v>106</v>
      </c>
      <c r="H23" s="4">
        <v>2024</v>
      </c>
      <c r="I23" s="4">
        <v>23</v>
      </c>
      <c r="J23" s="11">
        <f t="shared" si="1"/>
        <v>2760</v>
      </c>
      <c r="K23" s="11" t="s">
        <v>39</v>
      </c>
      <c r="L23" s="4" t="s">
        <v>153</v>
      </c>
      <c r="N23" s="4" t="s">
        <v>93</v>
      </c>
      <c r="O23" s="4">
        <v>77</v>
      </c>
      <c r="P23" s="4">
        <v>3</v>
      </c>
      <c r="Q23" s="4">
        <f t="shared" si="2"/>
        <v>231</v>
      </c>
      <c r="R23" s="4" t="s">
        <v>80</v>
      </c>
      <c r="S23" s="4" t="s">
        <v>600</v>
      </c>
      <c r="T23" s="4" t="s">
        <v>94</v>
      </c>
      <c r="U23" s="14">
        <v>0.95</v>
      </c>
      <c r="V23" s="4" t="s">
        <v>124</v>
      </c>
      <c r="W23" s="4">
        <v>2</v>
      </c>
      <c r="X23" s="4" t="s">
        <v>54</v>
      </c>
      <c r="Y23" s="4" t="s">
        <v>82</v>
      </c>
      <c r="Z23" s="4" t="s">
        <v>48</v>
      </c>
      <c r="AA23" s="4" t="s">
        <v>95</v>
      </c>
      <c r="AB23" s="4" t="s">
        <v>62</v>
      </c>
      <c r="AC23" s="4" t="s">
        <v>50</v>
      </c>
      <c r="AD23" s="4" t="s">
        <v>51</v>
      </c>
      <c r="AE23" s="4" t="s">
        <v>52</v>
      </c>
      <c r="AF23" s="4" t="s">
        <v>54</v>
      </c>
      <c r="AG23" s="5" t="s">
        <v>96</v>
      </c>
      <c r="AH23" s="4" t="s">
        <v>46</v>
      </c>
      <c r="AI23" s="4" t="str">
        <f t="shared" si="3"/>
        <v>S19k Pro (120T)</v>
      </c>
      <c r="AJ23" s="4" t="str">
        <f t="shared" si="4"/>
        <v>S19k Pro (Vnish)</v>
      </c>
      <c r="AK23" s="4">
        <v>0</v>
      </c>
      <c r="AL23" s="4">
        <v>0</v>
      </c>
    </row>
    <row r="24" spans="1:38" x14ac:dyDescent="0.25">
      <c r="A24" s="4" t="s">
        <v>154</v>
      </c>
      <c r="B24" s="4">
        <v>115</v>
      </c>
      <c r="C24" s="4" t="s">
        <v>98</v>
      </c>
      <c r="D24" s="4" t="str">
        <f t="shared" si="5"/>
        <v>B0</v>
      </c>
      <c r="E24" s="4" t="s">
        <v>90</v>
      </c>
      <c r="F24" s="4" t="s">
        <v>152</v>
      </c>
      <c r="G24" s="4" t="s">
        <v>106</v>
      </c>
      <c r="H24" s="4">
        <v>2024</v>
      </c>
      <c r="I24" s="4">
        <v>23</v>
      </c>
      <c r="J24" s="11">
        <f t="shared" si="1"/>
        <v>2645</v>
      </c>
      <c r="K24" s="11" t="s">
        <v>39</v>
      </c>
      <c r="L24" s="4" t="s">
        <v>153</v>
      </c>
      <c r="N24" s="4" t="s">
        <v>93</v>
      </c>
      <c r="O24" s="4">
        <v>77</v>
      </c>
      <c r="P24" s="4">
        <v>3</v>
      </c>
      <c r="Q24" s="4">
        <f t="shared" si="2"/>
        <v>231</v>
      </c>
      <c r="R24" s="4" t="s">
        <v>80</v>
      </c>
      <c r="S24" s="4" t="s">
        <v>600</v>
      </c>
      <c r="T24" s="4" t="s">
        <v>94</v>
      </c>
      <c r="U24" s="14">
        <v>0.95</v>
      </c>
      <c r="V24" s="4" t="s">
        <v>124</v>
      </c>
      <c r="W24" s="4">
        <v>2</v>
      </c>
      <c r="X24" s="4" t="s">
        <v>54</v>
      </c>
      <c r="Y24" s="4" t="s">
        <v>82</v>
      </c>
      <c r="Z24" s="4" t="s">
        <v>48</v>
      </c>
      <c r="AA24" s="4" t="s">
        <v>95</v>
      </c>
      <c r="AB24" s="4" t="s">
        <v>62</v>
      </c>
      <c r="AC24" s="4" t="s">
        <v>50</v>
      </c>
      <c r="AD24" s="4" t="s">
        <v>51</v>
      </c>
      <c r="AE24" s="4" t="s">
        <v>52</v>
      </c>
      <c r="AF24" s="4" t="s">
        <v>54</v>
      </c>
      <c r="AG24" s="5" t="s">
        <v>96</v>
      </c>
      <c r="AH24" s="4" t="s">
        <v>46</v>
      </c>
      <c r="AI24" s="4" t="str">
        <f t="shared" si="3"/>
        <v>S19k Pro (115T)</v>
      </c>
      <c r="AJ24" s="4" t="str">
        <f t="shared" si="4"/>
        <v>S19k Pro (Vnish)</v>
      </c>
      <c r="AK24" s="4">
        <v>0</v>
      </c>
      <c r="AL24" s="4">
        <v>0</v>
      </c>
    </row>
    <row r="25" spans="1:38" x14ac:dyDescent="0.25">
      <c r="A25" s="4" t="s">
        <v>155</v>
      </c>
      <c r="B25" s="4">
        <v>110</v>
      </c>
      <c r="C25" s="4" t="s">
        <v>100</v>
      </c>
      <c r="D25" s="4" t="str">
        <f t="shared" si="5"/>
        <v>B0</v>
      </c>
      <c r="E25" s="4" t="s">
        <v>90</v>
      </c>
      <c r="F25" s="4" t="s">
        <v>152</v>
      </c>
      <c r="G25" s="4" t="s">
        <v>106</v>
      </c>
      <c r="H25" s="4">
        <v>2024</v>
      </c>
      <c r="I25" s="4">
        <v>23</v>
      </c>
      <c r="J25" s="11">
        <f t="shared" si="1"/>
        <v>2530</v>
      </c>
      <c r="K25" s="11" t="s">
        <v>39</v>
      </c>
      <c r="L25" s="4" t="s">
        <v>153</v>
      </c>
      <c r="N25" s="4" t="s">
        <v>93</v>
      </c>
      <c r="O25" s="4">
        <v>77</v>
      </c>
      <c r="P25" s="4">
        <v>3</v>
      </c>
      <c r="Q25" s="4">
        <f t="shared" si="2"/>
        <v>231</v>
      </c>
      <c r="R25" s="4" t="s">
        <v>80</v>
      </c>
      <c r="S25" s="4" t="s">
        <v>600</v>
      </c>
      <c r="T25" s="4" t="s">
        <v>94</v>
      </c>
      <c r="U25" s="14">
        <v>0.95</v>
      </c>
      <c r="V25" s="4" t="s">
        <v>124</v>
      </c>
      <c r="W25" s="4">
        <v>2</v>
      </c>
      <c r="X25" s="4" t="s">
        <v>54</v>
      </c>
      <c r="Y25" s="4" t="s">
        <v>82</v>
      </c>
      <c r="Z25" s="4" t="s">
        <v>48</v>
      </c>
      <c r="AA25" s="4" t="s">
        <v>95</v>
      </c>
      <c r="AB25" s="4" t="s">
        <v>62</v>
      </c>
      <c r="AC25" s="4" t="s">
        <v>50</v>
      </c>
      <c r="AD25" s="4" t="s">
        <v>51</v>
      </c>
      <c r="AE25" s="4" t="s">
        <v>52</v>
      </c>
      <c r="AF25" s="4" t="s">
        <v>54</v>
      </c>
      <c r="AG25" s="5" t="s">
        <v>96</v>
      </c>
      <c r="AH25" s="4" t="s">
        <v>46</v>
      </c>
      <c r="AI25" s="4" t="str">
        <f t="shared" si="3"/>
        <v>S19k Pro (110T)</v>
      </c>
      <c r="AJ25" s="4" t="str">
        <f t="shared" si="4"/>
        <v>S19k Pro (Vnish)</v>
      </c>
      <c r="AK25" s="4">
        <v>0</v>
      </c>
      <c r="AL25" s="4">
        <v>0</v>
      </c>
    </row>
    <row r="26" spans="1:38" x14ac:dyDescent="0.25">
      <c r="A26" s="4" t="s">
        <v>156</v>
      </c>
      <c r="B26" s="4">
        <v>88.5</v>
      </c>
      <c r="C26" s="4" t="s">
        <v>157</v>
      </c>
      <c r="D26" s="4" t="str">
        <f t="shared" si="5"/>
        <v>B9</v>
      </c>
      <c r="E26" s="4" t="s">
        <v>158</v>
      </c>
      <c r="F26" s="4" t="s">
        <v>159</v>
      </c>
      <c r="G26" s="4" t="s">
        <v>160</v>
      </c>
      <c r="H26" s="4">
        <v>2021</v>
      </c>
      <c r="I26" s="4">
        <v>34.5</v>
      </c>
      <c r="J26" s="11">
        <f t="shared" si="1"/>
        <v>3053.25</v>
      </c>
      <c r="K26" s="11" t="s">
        <v>39</v>
      </c>
      <c r="L26" s="4" t="s">
        <v>161</v>
      </c>
      <c r="N26" s="4" t="s">
        <v>42</v>
      </c>
      <c r="O26" s="4">
        <v>80</v>
      </c>
      <c r="P26" s="4">
        <v>3</v>
      </c>
      <c r="Q26" s="4">
        <f t="shared" si="2"/>
        <v>240</v>
      </c>
      <c r="R26" s="4" t="s">
        <v>43</v>
      </c>
      <c r="S26" s="4" t="s">
        <v>601</v>
      </c>
      <c r="T26" s="4" t="s">
        <v>44</v>
      </c>
      <c r="U26" s="14">
        <v>0</v>
      </c>
      <c r="V26" s="4" t="s">
        <v>45</v>
      </c>
      <c r="W26" s="4" t="s">
        <v>115</v>
      </c>
      <c r="X26" s="4" t="s">
        <v>46</v>
      </c>
      <c r="Y26" s="4" t="s">
        <v>47</v>
      </c>
      <c r="Z26" s="4" t="s">
        <v>48</v>
      </c>
      <c r="AA26" s="4">
        <v>6000</v>
      </c>
      <c r="AB26" s="4" t="s">
        <v>162</v>
      </c>
      <c r="AC26" s="4" t="s">
        <v>50</v>
      </c>
      <c r="AD26" s="4" t="s">
        <v>51</v>
      </c>
      <c r="AE26" s="4" t="s">
        <v>52</v>
      </c>
      <c r="AF26" s="4" t="s">
        <v>115</v>
      </c>
      <c r="AG26" s="4" t="s">
        <v>115</v>
      </c>
      <c r="AH26" s="4" t="s">
        <v>115</v>
      </c>
      <c r="AI26" s="4" t="str">
        <f t="shared" si="3"/>
        <v>S19i (88.5T)</v>
      </c>
      <c r="AJ26" s="4" t="str">
        <f t="shared" si="4"/>
        <v>S19i (Vnish)</v>
      </c>
      <c r="AK26" s="4">
        <v>0</v>
      </c>
      <c r="AL26" s="4">
        <v>0</v>
      </c>
    </row>
    <row r="27" spans="1:38" x14ac:dyDescent="0.25">
      <c r="A27" s="4" t="s">
        <v>163</v>
      </c>
      <c r="B27" s="4">
        <v>92.5</v>
      </c>
      <c r="C27" s="4" t="s">
        <v>164</v>
      </c>
      <c r="D27" s="4" t="str">
        <f t="shared" si="5"/>
        <v>B9</v>
      </c>
      <c r="E27" s="4" t="s">
        <v>158</v>
      </c>
      <c r="F27" s="4" t="s">
        <v>159</v>
      </c>
      <c r="G27" s="4" t="s">
        <v>160</v>
      </c>
      <c r="H27" s="4">
        <v>2021</v>
      </c>
      <c r="I27" s="4">
        <v>34.5</v>
      </c>
      <c r="J27" s="11">
        <f t="shared" si="1"/>
        <v>3191.25</v>
      </c>
      <c r="K27" s="11" t="s">
        <v>39</v>
      </c>
      <c r="L27" s="4" t="s">
        <v>161</v>
      </c>
      <c r="N27" s="4" t="s">
        <v>42</v>
      </c>
      <c r="O27" s="4">
        <v>80</v>
      </c>
      <c r="P27" s="4">
        <v>3</v>
      </c>
      <c r="Q27" s="4">
        <f t="shared" si="2"/>
        <v>240</v>
      </c>
      <c r="R27" s="4" t="s">
        <v>43</v>
      </c>
      <c r="S27" s="4" t="s">
        <v>601</v>
      </c>
      <c r="T27" s="4" t="s">
        <v>44</v>
      </c>
      <c r="U27" s="14">
        <v>0</v>
      </c>
      <c r="V27" s="4" t="s">
        <v>45</v>
      </c>
      <c r="W27" s="4" t="s">
        <v>115</v>
      </c>
      <c r="X27" s="4" t="s">
        <v>46</v>
      </c>
      <c r="Y27" s="4" t="s">
        <v>47</v>
      </c>
      <c r="Z27" s="4" t="s">
        <v>48</v>
      </c>
      <c r="AA27" s="4">
        <v>6000</v>
      </c>
      <c r="AB27" s="4" t="s">
        <v>162</v>
      </c>
      <c r="AC27" s="4" t="s">
        <v>50</v>
      </c>
      <c r="AD27" s="4" t="s">
        <v>51</v>
      </c>
      <c r="AE27" s="4" t="s">
        <v>52</v>
      </c>
      <c r="AF27" s="4" t="s">
        <v>115</v>
      </c>
      <c r="AG27" s="4" t="s">
        <v>115</v>
      </c>
      <c r="AH27" s="4" t="s">
        <v>115</v>
      </c>
      <c r="AI27" s="4" t="str">
        <f t="shared" si="3"/>
        <v>S19i (92.5T)</v>
      </c>
      <c r="AJ27" s="4" t="str">
        <f t="shared" si="4"/>
        <v>S19i (Vnish)</v>
      </c>
      <c r="AK27" s="4">
        <v>1</v>
      </c>
      <c r="AL27" s="4">
        <v>0</v>
      </c>
    </row>
    <row r="28" spans="1:38" x14ac:dyDescent="0.25">
      <c r="A28" s="4" t="s">
        <v>165</v>
      </c>
      <c r="B28" s="4">
        <v>90</v>
      </c>
      <c r="C28" s="4" t="s">
        <v>64</v>
      </c>
      <c r="D28" s="4" t="str">
        <f t="shared" si="5"/>
        <v>C2</v>
      </c>
      <c r="E28" s="4" t="s">
        <v>59</v>
      </c>
      <c r="F28" s="4" t="s">
        <v>166</v>
      </c>
      <c r="G28" s="4" t="s">
        <v>167</v>
      </c>
      <c r="H28" s="4" t="s">
        <v>168</v>
      </c>
      <c r="I28" s="4">
        <v>34.5</v>
      </c>
      <c r="J28" s="11">
        <f t="shared" si="1"/>
        <v>3105</v>
      </c>
      <c r="K28" s="11" t="s">
        <v>39</v>
      </c>
      <c r="L28" s="4" t="s">
        <v>169</v>
      </c>
      <c r="N28" s="4" t="s">
        <v>79</v>
      </c>
      <c r="O28" s="4">
        <v>88</v>
      </c>
      <c r="P28" s="4">
        <v>3</v>
      </c>
      <c r="Q28" s="4">
        <f t="shared" si="2"/>
        <v>264</v>
      </c>
      <c r="R28" s="4" t="s">
        <v>170</v>
      </c>
      <c r="S28" s="4" t="s">
        <v>115</v>
      </c>
      <c r="T28" s="4" t="s">
        <v>81</v>
      </c>
      <c r="U28" s="14">
        <v>0</v>
      </c>
      <c r="V28" s="4" t="s">
        <v>124</v>
      </c>
      <c r="W28" s="4">
        <v>4</v>
      </c>
      <c r="X28" s="4" t="s">
        <v>46</v>
      </c>
      <c r="Y28" s="4" t="s">
        <v>47</v>
      </c>
      <c r="Z28" s="4" t="s">
        <v>48</v>
      </c>
      <c r="AA28" s="4">
        <v>6000</v>
      </c>
      <c r="AB28" s="4" t="s">
        <v>171</v>
      </c>
      <c r="AC28" s="4" t="s">
        <v>50</v>
      </c>
      <c r="AD28" s="4" t="s">
        <v>51</v>
      </c>
      <c r="AE28" s="4" t="s">
        <v>52</v>
      </c>
      <c r="AF28" s="4" t="s">
        <v>46</v>
      </c>
      <c r="AG28" s="5" t="s">
        <v>53</v>
      </c>
      <c r="AH28" s="4" t="s">
        <v>54</v>
      </c>
      <c r="AI28" s="4" t="str">
        <f t="shared" si="3"/>
        <v>S19 (90T)</v>
      </c>
      <c r="AJ28" s="4" t="str">
        <f t="shared" si="4"/>
        <v>S19 (Vnish)</v>
      </c>
      <c r="AK28" s="4">
        <v>1</v>
      </c>
      <c r="AL28" s="4">
        <v>0</v>
      </c>
    </row>
    <row r="29" spans="1:38" x14ac:dyDescent="0.25">
      <c r="A29" s="4" t="s">
        <v>172</v>
      </c>
      <c r="B29" s="4">
        <v>86</v>
      </c>
      <c r="C29" s="4" t="s">
        <v>173</v>
      </c>
      <c r="D29" s="4" t="str">
        <f t="shared" si="5"/>
        <v>C2</v>
      </c>
      <c r="E29" s="4" t="s">
        <v>59</v>
      </c>
      <c r="F29" s="4" t="s">
        <v>166</v>
      </c>
      <c r="G29" s="4" t="s">
        <v>167</v>
      </c>
      <c r="H29" s="4" t="s">
        <v>168</v>
      </c>
      <c r="I29" s="4">
        <v>34.5</v>
      </c>
      <c r="J29" s="11">
        <f t="shared" si="1"/>
        <v>2967</v>
      </c>
      <c r="K29" s="11" t="s">
        <v>39</v>
      </c>
      <c r="L29" s="4" t="s">
        <v>169</v>
      </c>
      <c r="N29" s="4" t="s">
        <v>79</v>
      </c>
      <c r="O29" s="4">
        <v>88</v>
      </c>
      <c r="P29" s="4">
        <v>3</v>
      </c>
      <c r="Q29" s="4">
        <f t="shared" si="2"/>
        <v>264</v>
      </c>
      <c r="R29" s="4" t="s">
        <v>170</v>
      </c>
      <c r="S29" s="4" t="s">
        <v>115</v>
      </c>
      <c r="T29" s="4" t="s">
        <v>81</v>
      </c>
      <c r="U29" s="14">
        <v>0</v>
      </c>
      <c r="V29" s="4" t="s">
        <v>124</v>
      </c>
      <c r="W29" s="4">
        <v>4</v>
      </c>
      <c r="X29" s="4" t="s">
        <v>46</v>
      </c>
      <c r="Y29" s="4" t="s">
        <v>47</v>
      </c>
      <c r="Z29" s="4" t="s">
        <v>48</v>
      </c>
      <c r="AA29" s="4">
        <v>6000</v>
      </c>
      <c r="AB29" s="4" t="s">
        <v>171</v>
      </c>
      <c r="AC29" s="4" t="s">
        <v>50</v>
      </c>
      <c r="AD29" s="4" t="s">
        <v>51</v>
      </c>
      <c r="AE29" s="4" t="s">
        <v>52</v>
      </c>
      <c r="AF29" s="4" t="s">
        <v>46</v>
      </c>
      <c r="AG29" s="5" t="s">
        <v>53</v>
      </c>
      <c r="AH29" s="4" t="s">
        <v>54</v>
      </c>
      <c r="AI29" s="4" t="str">
        <f t="shared" si="3"/>
        <v>S19 (86T)</v>
      </c>
      <c r="AJ29" s="4" t="str">
        <f t="shared" si="4"/>
        <v>S19 (Vnish)</v>
      </c>
      <c r="AK29" s="4">
        <v>0</v>
      </c>
      <c r="AL29" s="4">
        <v>0</v>
      </c>
    </row>
    <row r="30" spans="1:38" x14ac:dyDescent="0.25">
      <c r="A30" s="4" t="s">
        <v>174</v>
      </c>
      <c r="B30" s="4">
        <v>82</v>
      </c>
      <c r="C30" s="4" t="s">
        <v>175</v>
      </c>
      <c r="D30" s="4" t="str">
        <f t="shared" si="5"/>
        <v>C2</v>
      </c>
      <c r="E30" s="4" t="s">
        <v>59</v>
      </c>
      <c r="F30" s="4" t="s">
        <v>166</v>
      </c>
      <c r="G30" s="4" t="s">
        <v>167</v>
      </c>
      <c r="H30" s="4" t="s">
        <v>168</v>
      </c>
      <c r="I30" s="4">
        <v>34.5</v>
      </c>
      <c r="J30" s="11">
        <f t="shared" si="1"/>
        <v>2829</v>
      </c>
      <c r="K30" s="11" t="s">
        <v>39</v>
      </c>
      <c r="L30" s="4" t="s">
        <v>169</v>
      </c>
      <c r="N30" s="4" t="s">
        <v>79</v>
      </c>
      <c r="O30" s="4">
        <v>88</v>
      </c>
      <c r="P30" s="4">
        <v>3</v>
      </c>
      <c r="Q30" s="4">
        <f t="shared" si="2"/>
        <v>264</v>
      </c>
      <c r="R30" s="4" t="s">
        <v>170</v>
      </c>
      <c r="S30" s="4" t="s">
        <v>115</v>
      </c>
      <c r="T30" s="4" t="s">
        <v>81</v>
      </c>
      <c r="U30" s="14">
        <v>0</v>
      </c>
      <c r="V30" s="4" t="s">
        <v>124</v>
      </c>
      <c r="W30" s="4">
        <v>4</v>
      </c>
      <c r="X30" s="4" t="s">
        <v>46</v>
      </c>
      <c r="Y30" s="4" t="s">
        <v>47</v>
      </c>
      <c r="Z30" s="4" t="s">
        <v>48</v>
      </c>
      <c r="AA30" s="4">
        <v>6000</v>
      </c>
      <c r="AB30" s="4" t="s">
        <v>171</v>
      </c>
      <c r="AC30" s="4" t="s">
        <v>50</v>
      </c>
      <c r="AD30" s="4" t="s">
        <v>51</v>
      </c>
      <c r="AE30" s="4" t="s">
        <v>52</v>
      </c>
      <c r="AF30" s="4" t="s">
        <v>46</v>
      </c>
      <c r="AG30" s="5" t="s">
        <v>53</v>
      </c>
      <c r="AH30" s="4" t="s">
        <v>54</v>
      </c>
      <c r="AI30" s="4" t="str">
        <f t="shared" si="3"/>
        <v>S19 (82T)</v>
      </c>
      <c r="AJ30" s="4" t="str">
        <f t="shared" si="4"/>
        <v>S19 (Vnish)</v>
      </c>
      <c r="AK30" s="4">
        <v>0</v>
      </c>
      <c r="AL30" s="4">
        <v>0</v>
      </c>
    </row>
    <row r="31" spans="1:38" x14ac:dyDescent="0.25">
      <c r="A31" s="4" t="s">
        <v>176</v>
      </c>
      <c r="B31" s="4">
        <v>96</v>
      </c>
      <c r="C31" s="4" t="s">
        <v>177</v>
      </c>
      <c r="D31" s="4" t="str">
        <f t="shared" si="5"/>
        <v>D4</v>
      </c>
      <c r="E31" s="4" t="s">
        <v>178</v>
      </c>
      <c r="F31" s="4" t="s">
        <v>179</v>
      </c>
      <c r="G31" s="4" t="s">
        <v>167</v>
      </c>
      <c r="H31" s="4" t="s">
        <v>168</v>
      </c>
      <c r="I31" s="4">
        <v>29.5</v>
      </c>
      <c r="J31" s="11">
        <f t="shared" si="1"/>
        <v>2832</v>
      </c>
      <c r="K31" s="11" t="s">
        <v>39</v>
      </c>
      <c r="L31" s="4" t="s">
        <v>180</v>
      </c>
      <c r="N31" s="4" t="s">
        <v>79</v>
      </c>
      <c r="O31" s="4">
        <v>126</v>
      </c>
      <c r="P31" s="4">
        <v>3</v>
      </c>
      <c r="Q31" s="4">
        <f t="shared" si="2"/>
        <v>378</v>
      </c>
      <c r="R31" s="4" t="s">
        <v>43</v>
      </c>
      <c r="S31" s="4" t="s">
        <v>601</v>
      </c>
      <c r="T31" s="4" t="s">
        <v>181</v>
      </c>
      <c r="U31" s="14">
        <v>0</v>
      </c>
      <c r="V31" s="4" t="s">
        <v>45</v>
      </c>
      <c r="W31" s="4">
        <v>4</v>
      </c>
      <c r="X31" s="4" t="s">
        <v>46</v>
      </c>
      <c r="Y31" s="4" t="s">
        <v>47</v>
      </c>
      <c r="Z31" s="4" t="s">
        <v>48</v>
      </c>
      <c r="AA31" s="4">
        <v>6000</v>
      </c>
      <c r="AB31" s="4" t="s">
        <v>62</v>
      </c>
      <c r="AC31" s="4" t="s">
        <v>50</v>
      </c>
      <c r="AD31" s="4" t="s">
        <v>51</v>
      </c>
      <c r="AE31" s="4" t="s">
        <v>52</v>
      </c>
      <c r="AF31" s="4" t="s">
        <v>46</v>
      </c>
      <c r="AG31" s="5" t="s">
        <v>53</v>
      </c>
      <c r="AH31" s="4" t="s">
        <v>54</v>
      </c>
      <c r="AI31" s="4" t="str">
        <f t="shared" si="3"/>
        <v>S19j Pro (96T)</v>
      </c>
      <c r="AJ31" s="4" t="str">
        <f t="shared" si="4"/>
        <v>S19j Pro (Vnish)</v>
      </c>
      <c r="AK31" s="4">
        <v>0</v>
      </c>
      <c r="AL31" s="4">
        <v>1</v>
      </c>
    </row>
    <row r="32" spans="1:38" x14ac:dyDescent="0.25">
      <c r="A32" s="4" t="s">
        <v>275</v>
      </c>
      <c r="B32" s="4">
        <v>100</v>
      </c>
      <c r="C32" s="4" t="s">
        <v>183</v>
      </c>
      <c r="D32" s="4" t="str">
        <f t="shared" si="5"/>
        <v>D4</v>
      </c>
      <c r="E32" s="4" t="s">
        <v>178</v>
      </c>
      <c r="F32" s="4" t="s">
        <v>179</v>
      </c>
      <c r="G32" s="4" t="s">
        <v>167</v>
      </c>
      <c r="H32" s="4" t="s">
        <v>168</v>
      </c>
      <c r="I32" s="4">
        <v>29.5</v>
      </c>
      <c r="J32" s="11">
        <f t="shared" si="1"/>
        <v>2950</v>
      </c>
      <c r="K32" s="11" t="s">
        <v>39</v>
      </c>
      <c r="L32" s="4" t="s">
        <v>180</v>
      </c>
      <c r="N32" s="4" t="s">
        <v>79</v>
      </c>
      <c r="O32" s="4">
        <v>126</v>
      </c>
      <c r="P32" s="4">
        <v>3</v>
      </c>
      <c r="Q32" s="4">
        <f t="shared" si="2"/>
        <v>378</v>
      </c>
      <c r="R32" s="4" t="s">
        <v>43</v>
      </c>
      <c r="S32" s="4" t="s">
        <v>601</v>
      </c>
      <c r="T32" s="4" t="s">
        <v>181</v>
      </c>
      <c r="U32" s="14">
        <v>0</v>
      </c>
      <c r="V32" s="4" t="s">
        <v>45</v>
      </c>
      <c r="W32" s="4">
        <v>4</v>
      </c>
      <c r="X32" s="4" t="s">
        <v>46</v>
      </c>
      <c r="Y32" s="4" t="s">
        <v>47</v>
      </c>
      <c r="Z32" s="4" t="s">
        <v>48</v>
      </c>
      <c r="AA32" s="4">
        <v>6000</v>
      </c>
      <c r="AB32" s="4" t="s">
        <v>62</v>
      </c>
      <c r="AC32" s="4" t="s">
        <v>50</v>
      </c>
      <c r="AD32" s="4" t="s">
        <v>51</v>
      </c>
      <c r="AE32" s="4" t="s">
        <v>52</v>
      </c>
      <c r="AF32" s="4" t="s">
        <v>46</v>
      </c>
      <c r="AG32" s="5" t="s">
        <v>53</v>
      </c>
      <c r="AH32" s="4" t="s">
        <v>54</v>
      </c>
      <c r="AI32" s="4" t="str">
        <f t="shared" si="3"/>
        <v>S19j Pro (100T)</v>
      </c>
      <c r="AJ32" s="4" t="str">
        <f t="shared" si="4"/>
        <v>S19j Pro (Vnish)</v>
      </c>
      <c r="AK32" s="4">
        <v>1</v>
      </c>
      <c r="AL32" s="4">
        <v>1</v>
      </c>
    </row>
    <row r="33" spans="1:38" x14ac:dyDescent="0.25">
      <c r="A33" s="4" t="s">
        <v>186</v>
      </c>
      <c r="B33" s="4">
        <v>104</v>
      </c>
      <c r="C33" s="4" t="s">
        <v>187</v>
      </c>
      <c r="D33" s="4" t="str">
        <f t="shared" si="5"/>
        <v>D4</v>
      </c>
      <c r="E33" s="4" t="s">
        <v>178</v>
      </c>
      <c r="F33" s="4" t="s">
        <v>179</v>
      </c>
      <c r="G33" s="4" t="s">
        <v>167</v>
      </c>
      <c r="H33" s="4" t="s">
        <v>168</v>
      </c>
      <c r="I33" s="4">
        <v>29.5</v>
      </c>
      <c r="J33" s="11">
        <f t="shared" si="1"/>
        <v>3068</v>
      </c>
      <c r="K33" s="11" t="s">
        <v>39</v>
      </c>
      <c r="L33" s="4" t="s">
        <v>180</v>
      </c>
      <c r="N33" s="4" t="s">
        <v>79</v>
      </c>
      <c r="O33" s="4">
        <v>126</v>
      </c>
      <c r="P33" s="4">
        <v>3</v>
      </c>
      <c r="Q33" s="4">
        <f t="shared" si="2"/>
        <v>378</v>
      </c>
      <c r="R33" s="4" t="s">
        <v>43</v>
      </c>
      <c r="S33" s="4" t="s">
        <v>601</v>
      </c>
      <c r="T33" s="4" t="s">
        <v>181</v>
      </c>
      <c r="U33" s="14">
        <v>0</v>
      </c>
      <c r="V33" s="4" t="s">
        <v>45</v>
      </c>
      <c r="W33" s="4">
        <v>4</v>
      </c>
      <c r="X33" s="4" t="s">
        <v>46</v>
      </c>
      <c r="Y33" s="4" t="s">
        <v>47</v>
      </c>
      <c r="Z33" s="4" t="s">
        <v>48</v>
      </c>
      <c r="AA33" s="4">
        <v>6000</v>
      </c>
      <c r="AB33" s="4" t="s">
        <v>62</v>
      </c>
      <c r="AC33" s="4" t="s">
        <v>50</v>
      </c>
      <c r="AD33" s="4" t="s">
        <v>51</v>
      </c>
      <c r="AE33" s="4" t="s">
        <v>52</v>
      </c>
      <c r="AF33" s="4" t="s">
        <v>46</v>
      </c>
      <c r="AG33" s="5" t="s">
        <v>53</v>
      </c>
      <c r="AH33" s="4" t="s">
        <v>54</v>
      </c>
      <c r="AI33" s="4" t="str">
        <f t="shared" si="3"/>
        <v>S19j Pro (104T)</v>
      </c>
      <c r="AJ33" s="4" t="str">
        <f t="shared" si="4"/>
        <v>S19j Pro (Vnish)</v>
      </c>
      <c r="AK33" s="4">
        <v>0</v>
      </c>
      <c r="AL33" s="4">
        <v>1</v>
      </c>
    </row>
    <row r="34" spans="1:38" x14ac:dyDescent="0.25">
      <c r="A34" s="4" t="s">
        <v>188</v>
      </c>
      <c r="B34" s="4">
        <v>92</v>
      </c>
      <c r="C34" s="4" t="s">
        <v>189</v>
      </c>
      <c r="D34" s="4" t="str">
        <f t="shared" si="5"/>
        <v>D4</v>
      </c>
      <c r="E34" s="4" t="s">
        <v>178</v>
      </c>
      <c r="F34" s="4" t="s">
        <v>179</v>
      </c>
      <c r="G34" s="4" t="s">
        <v>167</v>
      </c>
      <c r="H34" s="4" t="s">
        <v>168</v>
      </c>
      <c r="I34" s="4">
        <v>29.5</v>
      </c>
      <c r="J34" s="11">
        <f t="shared" si="1"/>
        <v>2714</v>
      </c>
      <c r="K34" s="11" t="s">
        <v>39</v>
      </c>
      <c r="L34" s="4" t="s">
        <v>180</v>
      </c>
      <c r="N34" s="4" t="s">
        <v>79</v>
      </c>
      <c r="O34" s="4">
        <v>126</v>
      </c>
      <c r="P34" s="4">
        <v>3</v>
      </c>
      <c r="Q34" s="4">
        <f t="shared" ref="Q34:Q51" si="6">O34*P34</f>
        <v>378</v>
      </c>
      <c r="R34" s="4" t="s">
        <v>43</v>
      </c>
      <c r="S34" s="4" t="s">
        <v>601</v>
      </c>
      <c r="T34" s="4" t="s">
        <v>181</v>
      </c>
      <c r="U34" s="14">
        <v>0</v>
      </c>
      <c r="V34" s="4" t="s">
        <v>45</v>
      </c>
      <c r="W34" s="4">
        <v>4</v>
      </c>
      <c r="X34" s="4" t="s">
        <v>46</v>
      </c>
      <c r="Y34" s="4" t="s">
        <v>47</v>
      </c>
      <c r="Z34" s="4" t="s">
        <v>48</v>
      </c>
      <c r="AA34" s="4">
        <v>6000</v>
      </c>
      <c r="AB34" s="4" t="s">
        <v>62</v>
      </c>
      <c r="AC34" s="4" t="s">
        <v>50</v>
      </c>
      <c r="AD34" s="4" t="s">
        <v>51</v>
      </c>
      <c r="AE34" s="4" t="s">
        <v>52</v>
      </c>
      <c r="AF34" s="4" t="s">
        <v>46</v>
      </c>
      <c r="AG34" s="5" t="s">
        <v>53</v>
      </c>
      <c r="AH34" s="4" t="s">
        <v>54</v>
      </c>
      <c r="AI34" s="4" t="str">
        <f t="shared" ref="AI34:AI55" si="7">_xlfn.TEXTBEFORE(C34,"_") &amp; " (" &amp; _xlfn.TEXTAFTER(C34,"_") &amp; ")"</f>
        <v>S19j Pro (92T)</v>
      </c>
      <c r="AJ34" s="4" t="str">
        <f t="shared" ref="AJ34:AJ55" si="8">_xlfn.TEXTBEFORE(C34,"_") &amp; " (Vnish)"</f>
        <v>S19j Pro (Vnish)</v>
      </c>
      <c r="AK34" s="4">
        <v>0</v>
      </c>
      <c r="AL34" s="4">
        <v>1</v>
      </c>
    </row>
    <row r="35" spans="1:38" x14ac:dyDescent="0.25">
      <c r="A35" s="4" t="s">
        <v>190</v>
      </c>
      <c r="B35" s="4">
        <v>88</v>
      </c>
      <c r="C35" s="4" t="s">
        <v>191</v>
      </c>
      <c r="D35" s="4" t="str">
        <f t="shared" si="5"/>
        <v>D4</v>
      </c>
      <c r="E35" s="4" t="s">
        <v>178</v>
      </c>
      <c r="F35" s="4" t="s">
        <v>179</v>
      </c>
      <c r="G35" s="4" t="s">
        <v>167</v>
      </c>
      <c r="H35" s="4" t="s">
        <v>168</v>
      </c>
      <c r="I35" s="4">
        <v>29.5</v>
      </c>
      <c r="J35" s="11">
        <f t="shared" si="1"/>
        <v>2596</v>
      </c>
      <c r="K35" s="11" t="s">
        <v>39</v>
      </c>
      <c r="L35" s="4" t="s">
        <v>180</v>
      </c>
      <c r="N35" s="4" t="s">
        <v>79</v>
      </c>
      <c r="O35" s="4">
        <v>126</v>
      </c>
      <c r="P35" s="4">
        <v>3</v>
      </c>
      <c r="Q35" s="4">
        <f t="shared" si="6"/>
        <v>378</v>
      </c>
      <c r="R35" s="4" t="s">
        <v>43</v>
      </c>
      <c r="S35" s="4" t="s">
        <v>601</v>
      </c>
      <c r="T35" s="4" t="s">
        <v>181</v>
      </c>
      <c r="U35" s="14">
        <v>0</v>
      </c>
      <c r="V35" s="4" t="s">
        <v>45</v>
      </c>
      <c r="W35" s="4">
        <v>4</v>
      </c>
      <c r="X35" s="4" t="s">
        <v>46</v>
      </c>
      <c r="Y35" s="4" t="s">
        <v>47</v>
      </c>
      <c r="Z35" s="4" t="s">
        <v>48</v>
      </c>
      <c r="AA35" s="4">
        <v>6000</v>
      </c>
      <c r="AB35" s="4" t="s">
        <v>62</v>
      </c>
      <c r="AC35" s="4" t="s">
        <v>50</v>
      </c>
      <c r="AD35" s="4" t="s">
        <v>51</v>
      </c>
      <c r="AE35" s="4" t="s">
        <v>52</v>
      </c>
      <c r="AF35" s="4" t="s">
        <v>46</v>
      </c>
      <c r="AG35" s="5" t="s">
        <v>53</v>
      </c>
      <c r="AH35" s="4" t="s">
        <v>54</v>
      </c>
      <c r="AI35" s="4" t="str">
        <f t="shared" si="7"/>
        <v>S19j Pro (88T)</v>
      </c>
      <c r="AJ35" s="4" t="str">
        <f t="shared" si="8"/>
        <v>S19j Pro (Vnish)</v>
      </c>
      <c r="AK35" s="4">
        <v>0</v>
      </c>
      <c r="AL35" s="4">
        <v>1</v>
      </c>
    </row>
    <row r="36" spans="1:38" x14ac:dyDescent="0.25">
      <c r="A36" s="4" t="s">
        <v>192</v>
      </c>
      <c r="B36" s="4">
        <v>84</v>
      </c>
      <c r="C36" s="4" t="s">
        <v>193</v>
      </c>
      <c r="D36" s="4" t="str">
        <f t="shared" si="5"/>
        <v>D4</v>
      </c>
      <c r="E36" s="4" t="s">
        <v>178</v>
      </c>
      <c r="F36" s="4" t="s">
        <v>179</v>
      </c>
      <c r="G36" s="4" t="s">
        <v>167</v>
      </c>
      <c r="H36" s="4" t="s">
        <v>168</v>
      </c>
      <c r="I36" s="4">
        <v>29.5</v>
      </c>
      <c r="J36" s="11">
        <f t="shared" si="1"/>
        <v>2478</v>
      </c>
      <c r="K36" s="11" t="s">
        <v>39</v>
      </c>
      <c r="L36" s="4" t="s">
        <v>180</v>
      </c>
      <c r="N36" s="4" t="s">
        <v>79</v>
      </c>
      <c r="O36" s="4">
        <v>126</v>
      </c>
      <c r="P36" s="4">
        <v>3</v>
      </c>
      <c r="Q36" s="4">
        <f t="shared" si="6"/>
        <v>378</v>
      </c>
      <c r="R36" s="4" t="s">
        <v>43</v>
      </c>
      <c r="S36" s="4" t="s">
        <v>601</v>
      </c>
      <c r="T36" s="4" t="s">
        <v>181</v>
      </c>
      <c r="U36" s="14">
        <v>0</v>
      </c>
      <c r="V36" s="4" t="s">
        <v>45</v>
      </c>
      <c r="W36" s="4">
        <v>4</v>
      </c>
      <c r="X36" s="4" t="s">
        <v>46</v>
      </c>
      <c r="Y36" s="4" t="s">
        <v>47</v>
      </c>
      <c r="Z36" s="4" t="s">
        <v>48</v>
      </c>
      <c r="AA36" s="4">
        <v>6000</v>
      </c>
      <c r="AB36" s="4" t="s">
        <v>62</v>
      </c>
      <c r="AC36" s="4" t="s">
        <v>50</v>
      </c>
      <c r="AD36" s="4" t="s">
        <v>51</v>
      </c>
      <c r="AE36" s="4" t="s">
        <v>52</v>
      </c>
      <c r="AF36" s="4" t="s">
        <v>46</v>
      </c>
      <c r="AG36" s="5" t="s">
        <v>53</v>
      </c>
      <c r="AH36" s="4" t="s">
        <v>54</v>
      </c>
      <c r="AI36" s="4" t="str">
        <f t="shared" si="7"/>
        <v>S19j Pro (84T)</v>
      </c>
      <c r="AJ36" s="4" t="str">
        <f t="shared" si="8"/>
        <v>S19j Pro (Vnish)</v>
      </c>
      <c r="AK36" s="4">
        <v>0</v>
      </c>
      <c r="AL36" s="4">
        <v>0</v>
      </c>
    </row>
    <row r="37" spans="1:38" x14ac:dyDescent="0.25">
      <c r="A37" s="4" t="s">
        <v>194</v>
      </c>
      <c r="B37" s="4">
        <v>94</v>
      </c>
      <c r="C37" s="4" t="s">
        <v>195</v>
      </c>
      <c r="D37" s="4" t="str">
        <f t="shared" si="5"/>
        <v>D5</v>
      </c>
      <c r="E37" s="4" t="s">
        <v>196</v>
      </c>
      <c r="F37" s="4" t="s">
        <v>197</v>
      </c>
      <c r="G37" s="4" t="s">
        <v>160</v>
      </c>
      <c r="H37" s="4">
        <v>2021</v>
      </c>
      <c r="I37" s="4">
        <v>34.5</v>
      </c>
      <c r="J37" s="11">
        <f t="shared" si="1"/>
        <v>3243</v>
      </c>
      <c r="K37" s="11" t="s">
        <v>39</v>
      </c>
      <c r="L37" s="4" t="s">
        <v>115</v>
      </c>
      <c r="N37" s="4" t="s">
        <v>79</v>
      </c>
      <c r="O37" s="4">
        <v>108</v>
      </c>
      <c r="P37" s="4">
        <v>3</v>
      </c>
      <c r="Q37" s="4">
        <f t="shared" si="6"/>
        <v>324</v>
      </c>
      <c r="R37" s="4" t="s">
        <v>43</v>
      </c>
      <c r="S37" s="4" t="s">
        <v>601</v>
      </c>
      <c r="T37" s="4" t="s">
        <v>198</v>
      </c>
      <c r="U37" s="14">
        <v>0</v>
      </c>
      <c r="V37" s="4" t="s">
        <v>45</v>
      </c>
      <c r="W37" s="4">
        <v>4</v>
      </c>
      <c r="X37" s="4" t="s">
        <v>46</v>
      </c>
      <c r="Y37" s="4" t="s">
        <v>47</v>
      </c>
      <c r="Z37" s="4" t="s">
        <v>48</v>
      </c>
      <c r="AA37" s="4">
        <v>6000</v>
      </c>
      <c r="AB37" s="4" t="s">
        <v>62</v>
      </c>
      <c r="AC37" s="4" t="s">
        <v>50</v>
      </c>
      <c r="AD37" s="4" t="s">
        <v>51</v>
      </c>
      <c r="AE37" s="4" t="s">
        <v>52</v>
      </c>
      <c r="AF37" s="4" t="s">
        <v>115</v>
      </c>
      <c r="AG37" s="4" t="s">
        <v>115</v>
      </c>
      <c r="AH37" s="4" t="s">
        <v>115</v>
      </c>
      <c r="AI37" s="4" t="str">
        <f t="shared" si="7"/>
        <v>S19j (94T)</v>
      </c>
      <c r="AJ37" s="4" t="str">
        <f t="shared" si="8"/>
        <v>S19j (Vnish)</v>
      </c>
      <c r="AK37" s="4">
        <v>1</v>
      </c>
      <c r="AL37" s="4">
        <v>0</v>
      </c>
    </row>
    <row r="38" spans="1:38" x14ac:dyDescent="0.25">
      <c r="A38" s="4" t="s">
        <v>199</v>
      </c>
      <c r="B38" s="4">
        <v>90</v>
      </c>
      <c r="C38" s="4" t="s">
        <v>200</v>
      </c>
      <c r="D38" s="4" t="str">
        <f t="shared" si="5"/>
        <v>D5</v>
      </c>
      <c r="E38" s="4" t="s">
        <v>196</v>
      </c>
      <c r="F38" s="4" t="s">
        <v>197</v>
      </c>
      <c r="G38" s="4" t="s">
        <v>160</v>
      </c>
      <c r="H38" s="4">
        <v>2021</v>
      </c>
      <c r="I38" s="4">
        <v>34.5</v>
      </c>
      <c r="J38" s="11">
        <f t="shared" si="1"/>
        <v>3105</v>
      </c>
      <c r="K38" s="11" t="s">
        <v>39</v>
      </c>
      <c r="L38" s="4" t="s">
        <v>115</v>
      </c>
      <c r="N38" s="4" t="s">
        <v>79</v>
      </c>
      <c r="O38" s="4">
        <v>108</v>
      </c>
      <c r="P38" s="4">
        <v>3</v>
      </c>
      <c r="Q38" s="4">
        <f t="shared" si="6"/>
        <v>324</v>
      </c>
      <c r="R38" s="4" t="s">
        <v>43</v>
      </c>
      <c r="S38" s="4" t="s">
        <v>601</v>
      </c>
      <c r="T38" s="4" t="s">
        <v>198</v>
      </c>
      <c r="U38" s="14">
        <v>0</v>
      </c>
      <c r="V38" s="4" t="s">
        <v>45</v>
      </c>
      <c r="W38" s="4">
        <v>4</v>
      </c>
      <c r="X38" s="4" t="s">
        <v>46</v>
      </c>
      <c r="Y38" s="4" t="s">
        <v>47</v>
      </c>
      <c r="Z38" s="4" t="s">
        <v>48</v>
      </c>
      <c r="AA38" s="4">
        <v>6000</v>
      </c>
      <c r="AB38" s="4" t="s">
        <v>62</v>
      </c>
      <c r="AC38" s="4" t="s">
        <v>50</v>
      </c>
      <c r="AD38" s="4" t="s">
        <v>51</v>
      </c>
      <c r="AE38" s="4" t="s">
        <v>52</v>
      </c>
      <c r="AF38" s="4" t="s">
        <v>115</v>
      </c>
      <c r="AG38" s="4" t="s">
        <v>115</v>
      </c>
      <c r="AH38" s="4" t="s">
        <v>115</v>
      </c>
      <c r="AI38" s="4" t="str">
        <f t="shared" si="7"/>
        <v>S19j (90T)</v>
      </c>
      <c r="AJ38" s="4" t="str">
        <f t="shared" si="8"/>
        <v>S19j (Vnish)</v>
      </c>
      <c r="AK38" s="4">
        <v>0</v>
      </c>
      <c r="AL38" s="4">
        <v>0</v>
      </c>
    </row>
    <row r="39" spans="1:38" x14ac:dyDescent="0.25">
      <c r="A39" s="4" t="s">
        <v>201</v>
      </c>
      <c r="B39" s="4">
        <v>86</v>
      </c>
      <c r="C39" s="4" t="s">
        <v>202</v>
      </c>
      <c r="D39" s="4" t="str">
        <f t="shared" si="5"/>
        <v>D5</v>
      </c>
      <c r="E39" s="4" t="s">
        <v>196</v>
      </c>
      <c r="F39" s="4" t="s">
        <v>197</v>
      </c>
      <c r="G39" s="4" t="s">
        <v>160</v>
      </c>
      <c r="H39" s="4">
        <v>2021</v>
      </c>
      <c r="I39" s="4">
        <v>34.5</v>
      </c>
      <c r="J39" s="11">
        <f t="shared" si="1"/>
        <v>2967</v>
      </c>
      <c r="K39" s="11" t="s">
        <v>39</v>
      </c>
      <c r="L39" s="4" t="s">
        <v>115</v>
      </c>
      <c r="N39" s="4" t="s">
        <v>79</v>
      </c>
      <c r="O39" s="4">
        <v>108</v>
      </c>
      <c r="P39" s="4">
        <v>3</v>
      </c>
      <c r="Q39" s="4">
        <f t="shared" si="6"/>
        <v>324</v>
      </c>
      <c r="R39" s="4" t="s">
        <v>43</v>
      </c>
      <c r="S39" s="4" t="s">
        <v>601</v>
      </c>
      <c r="T39" s="4" t="s">
        <v>198</v>
      </c>
      <c r="U39" s="14">
        <v>0</v>
      </c>
      <c r="V39" s="4" t="s">
        <v>45</v>
      </c>
      <c r="W39" s="4">
        <v>4</v>
      </c>
      <c r="X39" s="4" t="s">
        <v>46</v>
      </c>
      <c r="Y39" s="4" t="s">
        <v>47</v>
      </c>
      <c r="Z39" s="4" t="s">
        <v>48</v>
      </c>
      <c r="AA39" s="4">
        <v>6000</v>
      </c>
      <c r="AB39" s="4" t="s">
        <v>62</v>
      </c>
      <c r="AC39" s="4" t="s">
        <v>50</v>
      </c>
      <c r="AD39" s="4" t="s">
        <v>51</v>
      </c>
      <c r="AE39" s="4" t="s">
        <v>52</v>
      </c>
      <c r="AF39" s="4" t="s">
        <v>115</v>
      </c>
      <c r="AG39" s="4" t="s">
        <v>115</v>
      </c>
      <c r="AH39" s="4" t="s">
        <v>115</v>
      </c>
      <c r="AI39" s="4" t="str">
        <f t="shared" si="7"/>
        <v>S19j (86T)</v>
      </c>
      <c r="AJ39" s="4" t="str">
        <f t="shared" si="8"/>
        <v>S19j (Vnish)</v>
      </c>
      <c r="AK39" s="4">
        <v>0</v>
      </c>
      <c r="AL39" s="4">
        <v>0</v>
      </c>
    </row>
    <row r="40" spans="1:38" x14ac:dyDescent="0.25">
      <c r="A40" s="4" t="s">
        <v>203</v>
      </c>
      <c r="B40" s="4">
        <v>82</v>
      </c>
      <c r="C40" s="4" t="s">
        <v>204</v>
      </c>
      <c r="D40" s="4" t="str">
        <f t="shared" si="5"/>
        <v>D5</v>
      </c>
      <c r="E40" s="4" t="s">
        <v>196</v>
      </c>
      <c r="F40" s="4" t="s">
        <v>197</v>
      </c>
      <c r="G40" s="4" t="s">
        <v>160</v>
      </c>
      <c r="H40" s="4">
        <v>2021</v>
      </c>
      <c r="I40" s="4">
        <v>34.5</v>
      </c>
      <c r="J40" s="11">
        <f t="shared" si="1"/>
        <v>2829</v>
      </c>
      <c r="K40" s="11" t="s">
        <v>39</v>
      </c>
      <c r="L40" s="4" t="s">
        <v>115</v>
      </c>
      <c r="N40" s="4" t="s">
        <v>79</v>
      </c>
      <c r="O40" s="4">
        <v>108</v>
      </c>
      <c r="P40" s="4">
        <v>3</v>
      </c>
      <c r="Q40" s="4">
        <f t="shared" si="6"/>
        <v>324</v>
      </c>
      <c r="R40" s="4" t="s">
        <v>43</v>
      </c>
      <c r="S40" s="4" t="s">
        <v>601</v>
      </c>
      <c r="T40" s="4" t="s">
        <v>198</v>
      </c>
      <c r="U40" s="14">
        <v>0</v>
      </c>
      <c r="V40" s="4" t="s">
        <v>45</v>
      </c>
      <c r="W40" s="4">
        <v>4</v>
      </c>
      <c r="X40" s="4" t="s">
        <v>46</v>
      </c>
      <c r="Y40" s="4" t="s">
        <v>47</v>
      </c>
      <c r="Z40" s="4" t="s">
        <v>48</v>
      </c>
      <c r="AA40" s="4">
        <v>6000</v>
      </c>
      <c r="AB40" s="4" t="s">
        <v>62</v>
      </c>
      <c r="AC40" s="4" t="s">
        <v>50</v>
      </c>
      <c r="AD40" s="4" t="s">
        <v>51</v>
      </c>
      <c r="AE40" s="4" t="s">
        <v>52</v>
      </c>
      <c r="AF40" s="4" t="s">
        <v>115</v>
      </c>
      <c r="AG40" s="4" t="s">
        <v>115</v>
      </c>
      <c r="AH40" s="4" t="s">
        <v>115</v>
      </c>
      <c r="AI40" s="4" t="str">
        <f t="shared" si="7"/>
        <v>S19j (82T)</v>
      </c>
      <c r="AJ40" s="4" t="str">
        <f t="shared" si="8"/>
        <v>S19j (Vnish)</v>
      </c>
      <c r="AK40" s="4">
        <v>0</v>
      </c>
      <c r="AL40" s="4">
        <v>0</v>
      </c>
    </row>
    <row r="41" spans="1:38" x14ac:dyDescent="0.25">
      <c r="A41" s="4" t="s">
        <v>205</v>
      </c>
      <c r="B41" s="4">
        <v>110</v>
      </c>
      <c r="C41" s="4" t="s">
        <v>206</v>
      </c>
      <c r="D41" s="4" t="str">
        <f t="shared" si="5"/>
        <v>DA</v>
      </c>
      <c r="E41" s="4" t="s">
        <v>207</v>
      </c>
      <c r="F41" s="4" t="s">
        <v>208</v>
      </c>
      <c r="G41" s="4" t="s">
        <v>160</v>
      </c>
      <c r="H41" s="4">
        <v>2021</v>
      </c>
      <c r="I41" s="4">
        <v>29.5</v>
      </c>
      <c r="J41" s="11">
        <f t="shared" si="1"/>
        <v>3245</v>
      </c>
      <c r="K41" s="11" t="s">
        <v>39</v>
      </c>
      <c r="L41" s="4" t="s">
        <v>209</v>
      </c>
      <c r="N41" s="4" t="s">
        <v>42</v>
      </c>
      <c r="O41" s="4">
        <v>100</v>
      </c>
      <c r="P41" s="4">
        <v>3</v>
      </c>
      <c r="Q41" s="4">
        <f t="shared" si="6"/>
        <v>300</v>
      </c>
      <c r="R41" s="4" t="s">
        <v>43</v>
      </c>
      <c r="S41" s="4" t="s">
        <v>601</v>
      </c>
      <c r="T41" s="4" t="s">
        <v>210</v>
      </c>
      <c r="U41" s="14">
        <v>0</v>
      </c>
      <c r="V41" s="4" t="s">
        <v>45</v>
      </c>
      <c r="W41" s="4" t="s">
        <v>115</v>
      </c>
      <c r="X41" s="4" t="s">
        <v>46</v>
      </c>
      <c r="Y41" s="4" t="s">
        <v>47</v>
      </c>
      <c r="Z41" s="4" t="s">
        <v>48</v>
      </c>
      <c r="AA41" s="4" t="s">
        <v>95</v>
      </c>
      <c r="AB41" s="4" t="s">
        <v>49</v>
      </c>
      <c r="AC41" s="4" t="s">
        <v>50</v>
      </c>
      <c r="AD41" s="4" t="s">
        <v>51</v>
      </c>
      <c r="AE41" s="4" t="s">
        <v>52</v>
      </c>
      <c r="AF41" s="4" t="s">
        <v>115</v>
      </c>
      <c r="AG41" s="4" t="s">
        <v>115</v>
      </c>
      <c r="AH41" s="4" t="s">
        <v>115</v>
      </c>
      <c r="AI41" s="4" t="str">
        <f t="shared" si="7"/>
        <v>S19a Pro (110T)</v>
      </c>
      <c r="AJ41" s="4" t="str">
        <f t="shared" si="8"/>
        <v>S19a Pro (Vnish)</v>
      </c>
      <c r="AK41" s="4">
        <v>1</v>
      </c>
      <c r="AL41" s="4">
        <v>0</v>
      </c>
    </row>
    <row r="42" spans="1:38" x14ac:dyDescent="0.25">
      <c r="A42" s="4" t="s">
        <v>211</v>
      </c>
      <c r="B42" s="4">
        <v>106</v>
      </c>
      <c r="C42" s="4" t="s">
        <v>212</v>
      </c>
      <c r="D42" s="4" t="str">
        <f t="shared" si="5"/>
        <v>DA</v>
      </c>
      <c r="E42" s="4" t="s">
        <v>207</v>
      </c>
      <c r="F42" s="4" t="s">
        <v>208</v>
      </c>
      <c r="G42" s="4" t="s">
        <v>160</v>
      </c>
      <c r="H42" s="4">
        <v>2021</v>
      </c>
      <c r="I42" s="4">
        <v>29.5</v>
      </c>
      <c r="J42" s="11">
        <f t="shared" si="1"/>
        <v>3127</v>
      </c>
      <c r="K42" s="11" t="s">
        <v>39</v>
      </c>
      <c r="L42" s="4" t="s">
        <v>209</v>
      </c>
      <c r="N42" s="4" t="s">
        <v>42</v>
      </c>
      <c r="O42" s="4">
        <v>100</v>
      </c>
      <c r="P42" s="4">
        <v>3</v>
      </c>
      <c r="Q42" s="4">
        <f t="shared" si="6"/>
        <v>300</v>
      </c>
      <c r="R42" s="4" t="s">
        <v>43</v>
      </c>
      <c r="S42" s="4" t="s">
        <v>601</v>
      </c>
      <c r="T42" s="4" t="s">
        <v>210</v>
      </c>
      <c r="U42" s="14">
        <v>0</v>
      </c>
      <c r="V42" s="4" t="s">
        <v>45</v>
      </c>
      <c r="W42" s="4" t="s">
        <v>115</v>
      </c>
      <c r="X42" s="4" t="s">
        <v>46</v>
      </c>
      <c r="Y42" s="4" t="s">
        <v>47</v>
      </c>
      <c r="Z42" s="4" t="s">
        <v>48</v>
      </c>
      <c r="AA42" s="4" t="s">
        <v>95</v>
      </c>
      <c r="AB42" s="4" t="s">
        <v>49</v>
      </c>
      <c r="AC42" s="4" t="s">
        <v>50</v>
      </c>
      <c r="AD42" s="4" t="s">
        <v>51</v>
      </c>
      <c r="AE42" s="4" t="s">
        <v>52</v>
      </c>
      <c r="AF42" s="4" t="s">
        <v>115</v>
      </c>
      <c r="AG42" s="4" t="s">
        <v>115</v>
      </c>
      <c r="AH42" s="4" t="s">
        <v>115</v>
      </c>
      <c r="AI42" s="4" t="str">
        <f t="shared" si="7"/>
        <v>S19a Pro (106T)</v>
      </c>
      <c r="AJ42" s="4" t="str">
        <f t="shared" si="8"/>
        <v>S19a Pro (Vnish)</v>
      </c>
      <c r="AK42" s="4">
        <v>0</v>
      </c>
      <c r="AL42" s="4">
        <v>0</v>
      </c>
    </row>
    <row r="43" spans="1:38" x14ac:dyDescent="0.25">
      <c r="A43" s="4" t="s">
        <v>213</v>
      </c>
      <c r="B43" s="4">
        <v>102</v>
      </c>
      <c r="C43" s="4" t="s">
        <v>214</v>
      </c>
      <c r="D43" s="4" t="str">
        <f t="shared" si="5"/>
        <v>DA</v>
      </c>
      <c r="E43" s="4" t="s">
        <v>207</v>
      </c>
      <c r="F43" s="4" t="s">
        <v>208</v>
      </c>
      <c r="G43" s="4" t="s">
        <v>160</v>
      </c>
      <c r="H43" s="4">
        <v>2021</v>
      </c>
      <c r="I43" s="4">
        <v>29.5</v>
      </c>
      <c r="J43" s="11">
        <f t="shared" si="1"/>
        <v>3009</v>
      </c>
      <c r="K43" s="11" t="s">
        <v>39</v>
      </c>
      <c r="L43" s="4" t="s">
        <v>209</v>
      </c>
      <c r="N43" s="4" t="s">
        <v>42</v>
      </c>
      <c r="O43" s="4">
        <v>100</v>
      </c>
      <c r="P43" s="4">
        <v>3</v>
      </c>
      <c r="Q43" s="4">
        <f t="shared" si="6"/>
        <v>300</v>
      </c>
      <c r="R43" s="4" t="s">
        <v>43</v>
      </c>
      <c r="S43" s="4" t="s">
        <v>601</v>
      </c>
      <c r="T43" s="4" t="s">
        <v>210</v>
      </c>
      <c r="U43" s="14">
        <v>0</v>
      </c>
      <c r="V43" s="4" t="s">
        <v>45</v>
      </c>
      <c r="W43" s="4" t="s">
        <v>115</v>
      </c>
      <c r="X43" s="4" t="s">
        <v>46</v>
      </c>
      <c r="Y43" s="4" t="s">
        <v>47</v>
      </c>
      <c r="Z43" s="4" t="s">
        <v>48</v>
      </c>
      <c r="AA43" s="4" t="s">
        <v>95</v>
      </c>
      <c r="AB43" s="4" t="s">
        <v>49</v>
      </c>
      <c r="AC43" s="4" t="s">
        <v>50</v>
      </c>
      <c r="AD43" s="4" t="s">
        <v>51</v>
      </c>
      <c r="AE43" s="4" t="s">
        <v>52</v>
      </c>
      <c r="AF43" s="4" t="s">
        <v>115</v>
      </c>
      <c r="AG43" s="4" t="s">
        <v>115</v>
      </c>
      <c r="AH43" s="4" t="s">
        <v>115</v>
      </c>
      <c r="AI43" s="4" t="str">
        <f t="shared" si="7"/>
        <v>S19a Pro (102T)</v>
      </c>
      <c r="AJ43" s="4" t="str">
        <f t="shared" si="8"/>
        <v>S19a Pro (Vnish)</v>
      </c>
      <c r="AK43" s="4">
        <v>0</v>
      </c>
      <c r="AL43" s="4">
        <v>0</v>
      </c>
    </row>
    <row r="44" spans="1:38" x14ac:dyDescent="0.25">
      <c r="A44" s="4" t="s">
        <v>215</v>
      </c>
      <c r="B44" s="4">
        <v>96</v>
      </c>
      <c r="C44" s="4" t="s">
        <v>216</v>
      </c>
      <c r="D44" s="4" t="str">
        <f t="shared" si="5"/>
        <v>DB</v>
      </c>
      <c r="E44" s="4" t="s">
        <v>217</v>
      </c>
      <c r="F44" s="4" t="s">
        <v>218</v>
      </c>
      <c r="G44" s="4" t="s">
        <v>160</v>
      </c>
      <c r="H44" s="4">
        <v>2021</v>
      </c>
      <c r="I44" s="4">
        <v>34.5</v>
      </c>
      <c r="J44" s="11">
        <f t="shared" si="1"/>
        <v>3312</v>
      </c>
      <c r="K44" s="11" t="s">
        <v>39</v>
      </c>
      <c r="L44" s="4" t="s">
        <v>219</v>
      </c>
      <c r="N44" s="4" t="s">
        <v>42</v>
      </c>
      <c r="O44" s="4">
        <v>72</v>
      </c>
      <c r="P44" s="4">
        <v>3</v>
      </c>
      <c r="Q44" s="4">
        <f t="shared" si="6"/>
        <v>216</v>
      </c>
      <c r="R44" s="4" t="s">
        <v>43</v>
      </c>
      <c r="S44" s="4" t="s">
        <v>601</v>
      </c>
      <c r="T44" s="4" t="s">
        <v>210</v>
      </c>
      <c r="U44" s="14">
        <v>0</v>
      </c>
      <c r="V44" s="4" t="s">
        <v>45</v>
      </c>
      <c r="W44" s="4" t="s">
        <v>115</v>
      </c>
      <c r="X44" s="4" t="s">
        <v>46</v>
      </c>
      <c r="Y44" s="4" t="s">
        <v>47</v>
      </c>
      <c r="Z44" s="4" t="s">
        <v>48</v>
      </c>
      <c r="AA44" s="4" t="s">
        <v>95</v>
      </c>
      <c r="AB44" s="4" t="s">
        <v>49</v>
      </c>
      <c r="AC44" s="4" t="s">
        <v>50</v>
      </c>
      <c r="AD44" s="4" t="s">
        <v>51</v>
      </c>
      <c r="AE44" s="4" t="s">
        <v>52</v>
      </c>
      <c r="AF44" s="4" t="s">
        <v>115</v>
      </c>
      <c r="AG44" s="4" t="s">
        <v>115</v>
      </c>
      <c r="AH44" s="4" t="s">
        <v>115</v>
      </c>
      <c r="AI44" s="4" t="str">
        <f t="shared" si="7"/>
        <v>S19a (96T)</v>
      </c>
      <c r="AJ44" s="4" t="str">
        <f t="shared" si="8"/>
        <v>S19a (Vnish)</v>
      </c>
      <c r="AK44" s="4">
        <v>1</v>
      </c>
      <c r="AL44" s="4">
        <v>0</v>
      </c>
    </row>
    <row r="45" spans="1:38" x14ac:dyDescent="0.25">
      <c r="A45" s="4" t="s">
        <v>220</v>
      </c>
      <c r="B45" s="4">
        <v>92</v>
      </c>
      <c r="C45" s="4" t="s">
        <v>221</v>
      </c>
      <c r="D45" s="4" t="str">
        <f t="shared" si="5"/>
        <v>DB</v>
      </c>
      <c r="E45" s="4" t="s">
        <v>217</v>
      </c>
      <c r="F45" s="4" t="s">
        <v>218</v>
      </c>
      <c r="G45" s="4" t="s">
        <v>160</v>
      </c>
      <c r="H45" s="4">
        <v>2021</v>
      </c>
      <c r="I45" s="4">
        <v>34.5</v>
      </c>
      <c r="J45" s="11">
        <f t="shared" si="1"/>
        <v>3174</v>
      </c>
      <c r="K45" s="11" t="s">
        <v>39</v>
      </c>
      <c r="L45" s="4" t="s">
        <v>219</v>
      </c>
      <c r="N45" s="4" t="s">
        <v>42</v>
      </c>
      <c r="O45" s="4">
        <v>72</v>
      </c>
      <c r="P45" s="4">
        <v>3</v>
      </c>
      <c r="Q45" s="4">
        <f t="shared" si="6"/>
        <v>216</v>
      </c>
      <c r="R45" s="4" t="s">
        <v>43</v>
      </c>
      <c r="S45" s="4" t="s">
        <v>601</v>
      </c>
      <c r="T45" s="4" t="s">
        <v>210</v>
      </c>
      <c r="U45" s="14">
        <v>0</v>
      </c>
      <c r="V45" s="4" t="s">
        <v>45</v>
      </c>
      <c r="W45" s="4" t="s">
        <v>115</v>
      </c>
      <c r="X45" s="4" t="s">
        <v>46</v>
      </c>
      <c r="Y45" s="4" t="s">
        <v>47</v>
      </c>
      <c r="Z45" s="4" t="s">
        <v>48</v>
      </c>
      <c r="AA45" s="4" t="s">
        <v>95</v>
      </c>
      <c r="AB45" s="4" t="s">
        <v>49</v>
      </c>
      <c r="AC45" s="4" t="s">
        <v>50</v>
      </c>
      <c r="AD45" s="4" t="s">
        <v>51</v>
      </c>
      <c r="AE45" s="4" t="s">
        <v>52</v>
      </c>
      <c r="AF45" s="4" t="s">
        <v>115</v>
      </c>
      <c r="AG45" s="4" t="s">
        <v>115</v>
      </c>
      <c r="AH45" s="4" t="s">
        <v>115</v>
      </c>
      <c r="AI45" s="4" t="str">
        <f t="shared" si="7"/>
        <v>S19a (92T)</v>
      </c>
      <c r="AJ45" s="4" t="str">
        <f t="shared" si="8"/>
        <v>S19a (Vnish)</v>
      </c>
      <c r="AK45" s="4">
        <v>0</v>
      </c>
      <c r="AL45" s="4">
        <v>0</v>
      </c>
    </row>
    <row r="46" spans="1:38" x14ac:dyDescent="0.25">
      <c r="A46" s="4" t="s">
        <v>222</v>
      </c>
      <c r="B46" s="4">
        <v>88</v>
      </c>
      <c r="C46" s="4" t="s">
        <v>223</v>
      </c>
      <c r="D46" s="4" t="str">
        <f t="shared" si="5"/>
        <v>DB</v>
      </c>
      <c r="E46" s="4" t="s">
        <v>217</v>
      </c>
      <c r="F46" s="4" t="s">
        <v>218</v>
      </c>
      <c r="G46" s="4" t="s">
        <v>160</v>
      </c>
      <c r="H46" s="4">
        <v>2021</v>
      </c>
      <c r="I46" s="4">
        <v>34.5</v>
      </c>
      <c r="J46" s="11">
        <f t="shared" si="1"/>
        <v>3036</v>
      </c>
      <c r="K46" s="11" t="s">
        <v>39</v>
      </c>
      <c r="L46" s="4" t="s">
        <v>219</v>
      </c>
      <c r="N46" s="4" t="s">
        <v>42</v>
      </c>
      <c r="O46" s="4">
        <v>72</v>
      </c>
      <c r="P46" s="4">
        <v>3</v>
      </c>
      <c r="Q46" s="4">
        <f t="shared" si="6"/>
        <v>216</v>
      </c>
      <c r="R46" s="4" t="s">
        <v>43</v>
      </c>
      <c r="S46" s="4" t="s">
        <v>601</v>
      </c>
      <c r="T46" s="4" t="s">
        <v>210</v>
      </c>
      <c r="U46" s="14">
        <v>0</v>
      </c>
      <c r="V46" s="4" t="s">
        <v>45</v>
      </c>
      <c r="W46" s="4" t="s">
        <v>115</v>
      </c>
      <c r="X46" s="4" t="s">
        <v>46</v>
      </c>
      <c r="Y46" s="4" t="s">
        <v>47</v>
      </c>
      <c r="Z46" s="4" t="s">
        <v>48</v>
      </c>
      <c r="AA46" s="4" t="s">
        <v>95</v>
      </c>
      <c r="AB46" s="4" t="s">
        <v>49</v>
      </c>
      <c r="AC46" s="4" t="s">
        <v>50</v>
      </c>
      <c r="AD46" s="4" t="s">
        <v>51</v>
      </c>
      <c r="AE46" s="4" t="s">
        <v>52</v>
      </c>
      <c r="AF46" s="4" t="s">
        <v>115</v>
      </c>
      <c r="AG46" s="4" t="s">
        <v>115</v>
      </c>
      <c r="AH46" s="4" t="s">
        <v>115</v>
      </c>
      <c r="AI46" s="4" t="str">
        <f t="shared" si="7"/>
        <v>S19a (88T)</v>
      </c>
      <c r="AJ46" s="4" t="str">
        <f t="shared" si="8"/>
        <v>S19a (Vnish)</v>
      </c>
      <c r="AK46" s="4">
        <v>0</v>
      </c>
      <c r="AL46" s="4">
        <v>0</v>
      </c>
    </row>
    <row r="47" spans="1:38" x14ac:dyDescent="0.25">
      <c r="A47" s="4" t="s">
        <v>224</v>
      </c>
      <c r="B47" s="4">
        <v>158</v>
      </c>
      <c r="C47" s="4" t="s">
        <v>225</v>
      </c>
      <c r="D47" s="4" t="s">
        <v>226</v>
      </c>
      <c r="E47" s="4" t="s">
        <v>227</v>
      </c>
      <c r="F47" s="4" t="s">
        <v>228</v>
      </c>
      <c r="G47" s="4" t="s">
        <v>229</v>
      </c>
      <c r="H47" s="4">
        <v>2022</v>
      </c>
      <c r="I47" s="4">
        <v>34.5</v>
      </c>
      <c r="J47" s="4">
        <f t="shared" si="1"/>
        <v>5451</v>
      </c>
      <c r="K47" s="4" t="s">
        <v>107</v>
      </c>
      <c r="L47" s="4" t="s">
        <v>230</v>
      </c>
      <c r="N47" s="4" t="s">
        <v>42</v>
      </c>
      <c r="O47" s="4">
        <v>104</v>
      </c>
      <c r="P47" s="4">
        <v>4</v>
      </c>
      <c r="Q47" s="4">
        <f t="shared" si="6"/>
        <v>416</v>
      </c>
      <c r="R47" s="4" t="s">
        <v>603</v>
      </c>
      <c r="S47" s="4" t="s">
        <v>115</v>
      </c>
      <c r="T47" s="4" t="s">
        <v>110</v>
      </c>
      <c r="U47" s="14">
        <v>0</v>
      </c>
      <c r="V47" s="4" t="s">
        <v>45</v>
      </c>
      <c r="W47" s="4" t="s">
        <v>115</v>
      </c>
      <c r="X47" s="4" t="s">
        <v>46</v>
      </c>
      <c r="Y47" s="4" t="s">
        <v>111</v>
      </c>
      <c r="Z47" s="4" t="s">
        <v>96</v>
      </c>
      <c r="AA47" s="4" t="s">
        <v>96</v>
      </c>
      <c r="AB47" s="4" t="s">
        <v>112</v>
      </c>
      <c r="AC47" s="4" t="s">
        <v>112</v>
      </c>
      <c r="AD47" s="4" t="s">
        <v>113</v>
      </c>
      <c r="AE47" s="4" t="s">
        <v>114</v>
      </c>
      <c r="AF47" s="4" t="s">
        <v>54</v>
      </c>
      <c r="AG47" s="5" t="s">
        <v>96</v>
      </c>
      <c r="AH47" s="4" t="s">
        <v>115</v>
      </c>
      <c r="AI47" s="4" t="str">
        <f t="shared" si="7"/>
        <v>S19 Hydro (158T)</v>
      </c>
      <c r="AJ47" s="4" t="str">
        <f t="shared" si="8"/>
        <v>S19 Hydro (Vnish)</v>
      </c>
      <c r="AK47" s="4">
        <v>1</v>
      </c>
      <c r="AL47" s="4">
        <v>0</v>
      </c>
    </row>
    <row r="48" spans="1:38" x14ac:dyDescent="0.25">
      <c r="A48" s="4" t="s">
        <v>231</v>
      </c>
      <c r="B48" s="4">
        <v>151.30000000000001</v>
      </c>
      <c r="C48" s="4" t="s">
        <v>232</v>
      </c>
      <c r="D48" s="4" t="s">
        <v>226</v>
      </c>
      <c r="E48" s="4" t="s">
        <v>227</v>
      </c>
      <c r="F48" s="4" t="s">
        <v>228</v>
      </c>
      <c r="G48" s="4" t="s">
        <v>229</v>
      </c>
      <c r="H48" s="4">
        <v>2022</v>
      </c>
      <c r="I48" s="4">
        <v>34.5</v>
      </c>
      <c r="J48" s="4">
        <v>5227</v>
      </c>
      <c r="K48" s="4" t="s">
        <v>107</v>
      </c>
      <c r="L48" s="4" t="s">
        <v>230</v>
      </c>
      <c r="N48" s="4" t="s">
        <v>42</v>
      </c>
      <c r="O48" s="4">
        <v>104</v>
      </c>
      <c r="P48" s="4">
        <v>4</v>
      </c>
      <c r="Q48" s="4">
        <f t="shared" si="6"/>
        <v>416</v>
      </c>
      <c r="R48" s="4" t="s">
        <v>603</v>
      </c>
      <c r="S48" s="4" t="s">
        <v>115</v>
      </c>
      <c r="T48" s="4" t="s">
        <v>110</v>
      </c>
      <c r="U48" s="14">
        <v>0</v>
      </c>
      <c r="V48" s="4" t="s">
        <v>45</v>
      </c>
      <c r="W48" s="4" t="s">
        <v>115</v>
      </c>
      <c r="X48" s="4" t="s">
        <v>46</v>
      </c>
      <c r="Y48" s="4" t="s">
        <v>111</v>
      </c>
      <c r="Z48" s="4" t="s">
        <v>96</v>
      </c>
      <c r="AA48" s="4" t="s">
        <v>96</v>
      </c>
      <c r="AB48" s="4" t="s">
        <v>112</v>
      </c>
      <c r="AC48" s="4" t="s">
        <v>112</v>
      </c>
      <c r="AD48" s="4" t="s">
        <v>113</v>
      </c>
      <c r="AE48" s="4" t="s">
        <v>114</v>
      </c>
      <c r="AF48" s="4" t="s">
        <v>54</v>
      </c>
      <c r="AG48" s="5" t="s">
        <v>96</v>
      </c>
      <c r="AH48" s="4" t="s">
        <v>115</v>
      </c>
      <c r="AI48" s="4" t="str">
        <f t="shared" si="7"/>
        <v>S19 Hydro (151.3T)</v>
      </c>
      <c r="AJ48" s="4" t="str">
        <f t="shared" si="8"/>
        <v>S19 Hydro (Vnish)</v>
      </c>
      <c r="AK48" s="4">
        <v>0</v>
      </c>
      <c r="AL48" s="4">
        <v>0</v>
      </c>
    </row>
    <row r="49" spans="1:38" x14ac:dyDescent="0.25">
      <c r="A49" s="4" t="s">
        <v>233</v>
      </c>
      <c r="B49" s="4">
        <v>145</v>
      </c>
      <c r="C49" s="4" t="s">
        <v>234</v>
      </c>
      <c r="D49" s="4" t="s">
        <v>226</v>
      </c>
      <c r="E49" s="4" t="s">
        <v>227</v>
      </c>
      <c r="F49" s="4" t="s">
        <v>228</v>
      </c>
      <c r="G49" s="4" t="s">
        <v>229</v>
      </c>
      <c r="H49" s="4">
        <v>2022</v>
      </c>
      <c r="I49" s="4">
        <v>34.5</v>
      </c>
      <c r="J49" s="4">
        <v>5000</v>
      </c>
      <c r="K49" s="4" t="s">
        <v>107</v>
      </c>
      <c r="L49" s="4" t="s">
        <v>230</v>
      </c>
      <c r="N49" s="4" t="s">
        <v>42</v>
      </c>
      <c r="O49" s="4">
        <v>104</v>
      </c>
      <c r="P49" s="4">
        <v>4</v>
      </c>
      <c r="Q49" s="4">
        <f t="shared" si="6"/>
        <v>416</v>
      </c>
      <c r="R49" s="4" t="s">
        <v>603</v>
      </c>
      <c r="S49" s="4" t="s">
        <v>115</v>
      </c>
      <c r="T49" s="4" t="s">
        <v>110</v>
      </c>
      <c r="U49" s="14">
        <v>0</v>
      </c>
      <c r="V49" s="4" t="s">
        <v>45</v>
      </c>
      <c r="W49" s="4" t="s">
        <v>115</v>
      </c>
      <c r="X49" s="4" t="s">
        <v>46</v>
      </c>
      <c r="Y49" s="4" t="s">
        <v>111</v>
      </c>
      <c r="Z49" s="4" t="s">
        <v>96</v>
      </c>
      <c r="AA49" s="4" t="s">
        <v>96</v>
      </c>
      <c r="AB49" s="4" t="s">
        <v>112</v>
      </c>
      <c r="AC49" s="4" t="s">
        <v>112</v>
      </c>
      <c r="AD49" s="4" t="s">
        <v>113</v>
      </c>
      <c r="AE49" s="4" t="s">
        <v>114</v>
      </c>
      <c r="AF49" s="4" t="s">
        <v>54</v>
      </c>
      <c r="AG49" s="5" t="s">
        <v>96</v>
      </c>
      <c r="AH49" s="4" t="s">
        <v>115</v>
      </c>
      <c r="AI49" s="4" t="str">
        <f t="shared" si="7"/>
        <v>S19 Hydro (145T)</v>
      </c>
      <c r="AJ49" s="4" t="str">
        <f t="shared" si="8"/>
        <v>S19 Hydro (Vnish)</v>
      </c>
      <c r="AK49" s="4">
        <v>0</v>
      </c>
      <c r="AL49" s="4">
        <v>0</v>
      </c>
    </row>
    <row r="50" spans="1:38" x14ac:dyDescent="0.25">
      <c r="A50" s="4" t="s">
        <v>235</v>
      </c>
      <c r="B50" s="4">
        <v>138.5</v>
      </c>
      <c r="C50" s="4" t="s">
        <v>236</v>
      </c>
      <c r="D50" s="4" t="s">
        <v>226</v>
      </c>
      <c r="E50" s="4" t="s">
        <v>227</v>
      </c>
      <c r="F50" s="4" t="s">
        <v>228</v>
      </c>
      <c r="G50" s="4" t="s">
        <v>229</v>
      </c>
      <c r="H50" s="4">
        <v>2022</v>
      </c>
      <c r="I50" s="4">
        <v>34.5</v>
      </c>
      <c r="J50" s="4">
        <v>4778</v>
      </c>
      <c r="K50" s="4" t="s">
        <v>107</v>
      </c>
      <c r="L50" s="4" t="s">
        <v>230</v>
      </c>
      <c r="N50" s="4" t="s">
        <v>42</v>
      </c>
      <c r="O50" s="4">
        <v>104</v>
      </c>
      <c r="P50" s="4">
        <v>4</v>
      </c>
      <c r="Q50" s="4">
        <f t="shared" si="6"/>
        <v>416</v>
      </c>
      <c r="R50" s="4" t="s">
        <v>603</v>
      </c>
      <c r="S50" s="4" t="s">
        <v>115</v>
      </c>
      <c r="T50" s="4" t="s">
        <v>110</v>
      </c>
      <c r="U50" s="14">
        <v>0</v>
      </c>
      <c r="V50" s="4" t="s">
        <v>45</v>
      </c>
      <c r="W50" s="4" t="s">
        <v>115</v>
      </c>
      <c r="X50" s="4" t="s">
        <v>46</v>
      </c>
      <c r="Y50" s="4" t="s">
        <v>111</v>
      </c>
      <c r="Z50" s="4" t="s">
        <v>96</v>
      </c>
      <c r="AA50" s="4" t="s">
        <v>96</v>
      </c>
      <c r="AB50" s="4" t="s">
        <v>112</v>
      </c>
      <c r="AC50" s="4" t="s">
        <v>112</v>
      </c>
      <c r="AD50" s="4" t="s">
        <v>113</v>
      </c>
      <c r="AE50" s="4" t="s">
        <v>114</v>
      </c>
      <c r="AF50" s="4" t="s">
        <v>54</v>
      </c>
      <c r="AG50" s="5" t="s">
        <v>96</v>
      </c>
      <c r="AH50" s="4" t="s">
        <v>115</v>
      </c>
      <c r="AI50" s="4" t="str">
        <f t="shared" si="7"/>
        <v>S19 Hydro (138.5T)</v>
      </c>
      <c r="AJ50" s="4" t="str">
        <f t="shared" si="8"/>
        <v>S19 Hydro (Vnish)</v>
      </c>
      <c r="AK50" s="4">
        <v>0</v>
      </c>
      <c r="AL50" s="4">
        <v>0</v>
      </c>
    </row>
    <row r="51" spans="1:38" x14ac:dyDescent="0.25">
      <c r="A51" s="4" t="s">
        <v>237</v>
      </c>
      <c r="B51" s="4">
        <v>132</v>
      </c>
      <c r="C51" s="4" t="s">
        <v>238</v>
      </c>
      <c r="D51" s="4" t="s">
        <v>226</v>
      </c>
      <c r="E51" s="4" t="s">
        <v>227</v>
      </c>
      <c r="F51" s="4" t="s">
        <v>228</v>
      </c>
      <c r="G51" s="4" t="s">
        <v>229</v>
      </c>
      <c r="H51" s="4">
        <v>2022</v>
      </c>
      <c r="I51" s="4">
        <v>34.5</v>
      </c>
      <c r="J51" s="4">
        <v>4554</v>
      </c>
      <c r="K51" s="4" t="s">
        <v>107</v>
      </c>
      <c r="L51" s="4" t="s">
        <v>230</v>
      </c>
      <c r="N51" s="4" t="s">
        <v>42</v>
      </c>
      <c r="O51" s="4">
        <v>104</v>
      </c>
      <c r="P51" s="4">
        <v>4</v>
      </c>
      <c r="Q51" s="4">
        <f t="shared" si="6"/>
        <v>416</v>
      </c>
      <c r="R51" s="4" t="s">
        <v>603</v>
      </c>
      <c r="S51" s="4" t="s">
        <v>115</v>
      </c>
      <c r="T51" s="4" t="s">
        <v>110</v>
      </c>
      <c r="U51" s="14">
        <v>0</v>
      </c>
      <c r="V51" s="4" t="s">
        <v>45</v>
      </c>
      <c r="W51" s="4" t="s">
        <v>115</v>
      </c>
      <c r="X51" s="4" t="s">
        <v>46</v>
      </c>
      <c r="Y51" s="4" t="s">
        <v>111</v>
      </c>
      <c r="Z51" s="4" t="s">
        <v>96</v>
      </c>
      <c r="AA51" s="4" t="s">
        <v>96</v>
      </c>
      <c r="AB51" s="4" t="s">
        <v>112</v>
      </c>
      <c r="AC51" s="4" t="s">
        <v>112</v>
      </c>
      <c r="AD51" s="4" t="s">
        <v>113</v>
      </c>
      <c r="AE51" s="4" t="s">
        <v>114</v>
      </c>
      <c r="AF51" s="4" t="s">
        <v>54</v>
      </c>
      <c r="AG51" s="5" t="s">
        <v>96</v>
      </c>
      <c r="AH51" s="4" t="s">
        <v>115</v>
      </c>
      <c r="AI51" s="4" t="str">
        <f t="shared" si="7"/>
        <v>S19 Hydro (132T)</v>
      </c>
      <c r="AJ51" s="4" t="str">
        <f t="shared" si="8"/>
        <v>S19 Hydro (Vnish)</v>
      </c>
      <c r="AK51" s="4">
        <v>0</v>
      </c>
      <c r="AL51" s="4">
        <v>0</v>
      </c>
    </row>
    <row r="52" spans="1:38" x14ac:dyDescent="0.25">
      <c r="A52" s="4" t="s">
        <v>239</v>
      </c>
      <c r="B52" s="4">
        <v>119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229</v>
      </c>
      <c r="H52" s="4">
        <v>2022</v>
      </c>
      <c r="I52" s="4">
        <v>37.5</v>
      </c>
      <c r="J52" s="4">
        <v>4463</v>
      </c>
      <c r="K52" s="4" t="s">
        <v>107</v>
      </c>
      <c r="L52" s="4" t="s">
        <v>115</v>
      </c>
      <c r="N52" s="4" t="s">
        <v>42</v>
      </c>
      <c r="P52" s="4">
        <v>4</v>
      </c>
      <c r="R52" s="4" t="s">
        <v>603</v>
      </c>
      <c r="S52" s="4" t="s">
        <v>115</v>
      </c>
      <c r="T52" s="4" t="s">
        <v>110</v>
      </c>
      <c r="U52" s="14">
        <v>0</v>
      </c>
      <c r="V52" s="4" t="s">
        <v>45</v>
      </c>
      <c r="W52" s="4" t="s">
        <v>115</v>
      </c>
      <c r="X52" s="4" t="s">
        <v>46</v>
      </c>
      <c r="Y52" s="4" t="s">
        <v>111</v>
      </c>
      <c r="Z52" s="4" t="s">
        <v>96</v>
      </c>
      <c r="AA52" s="4" t="s">
        <v>96</v>
      </c>
      <c r="AB52" s="4" t="s">
        <v>112</v>
      </c>
      <c r="AC52" s="4" t="s">
        <v>112</v>
      </c>
      <c r="AD52" s="4" t="s">
        <v>113</v>
      </c>
      <c r="AE52" s="4" t="s">
        <v>114</v>
      </c>
      <c r="AF52" s="4" t="s">
        <v>54</v>
      </c>
      <c r="AG52" s="5" t="s">
        <v>96</v>
      </c>
      <c r="AH52" s="4" t="s">
        <v>115</v>
      </c>
      <c r="AI52" s="4" t="str">
        <f t="shared" si="7"/>
        <v>T19 Hydro (119T)</v>
      </c>
      <c r="AJ52" s="4" t="str">
        <f t="shared" si="8"/>
        <v>T19 Hydro (Vnish)</v>
      </c>
      <c r="AK52" s="4">
        <v>1</v>
      </c>
      <c r="AL52" s="4">
        <v>0</v>
      </c>
    </row>
    <row r="53" spans="1:38" x14ac:dyDescent="0.25">
      <c r="A53" s="4" t="s">
        <v>244</v>
      </c>
      <c r="B53" s="4">
        <v>125</v>
      </c>
      <c r="C53" s="4" t="s">
        <v>245</v>
      </c>
      <c r="D53" s="4" t="s">
        <v>241</v>
      </c>
      <c r="E53" s="4" t="s">
        <v>242</v>
      </c>
      <c r="F53" s="4" t="s">
        <v>243</v>
      </c>
      <c r="G53" s="4" t="s">
        <v>229</v>
      </c>
      <c r="H53" s="4">
        <v>2022</v>
      </c>
      <c r="I53" s="4">
        <v>37.5</v>
      </c>
      <c r="J53" s="4">
        <v>4706</v>
      </c>
      <c r="K53" s="4" t="s">
        <v>107</v>
      </c>
      <c r="L53" s="4" t="s">
        <v>115</v>
      </c>
      <c r="N53" s="4" t="s">
        <v>42</v>
      </c>
      <c r="P53" s="4">
        <v>4</v>
      </c>
      <c r="R53" s="4" t="s">
        <v>603</v>
      </c>
      <c r="S53" s="4" t="s">
        <v>115</v>
      </c>
      <c r="T53" s="4" t="s">
        <v>110</v>
      </c>
      <c r="U53" s="14">
        <v>0</v>
      </c>
      <c r="V53" s="4" t="s">
        <v>45</v>
      </c>
      <c r="W53" s="4" t="s">
        <v>115</v>
      </c>
      <c r="X53" s="4" t="s">
        <v>46</v>
      </c>
      <c r="Y53" s="4" t="s">
        <v>111</v>
      </c>
      <c r="Z53" s="4" t="s">
        <v>96</v>
      </c>
      <c r="AA53" s="4" t="s">
        <v>96</v>
      </c>
      <c r="AB53" s="4" t="s">
        <v>112</v>
      </c>
      <c r="AC53" s="4" t="s">
        <v>112</v>
      </c>
      <c r="AD53" s="4" t="s">
        <v>113</v>
      </c>
      <c r="AE53" s="4" t="s">
        <v>114</v>
      </c>
      <c r="AF53" s="4" t="s">
        <v>54</v>
      </c>
      <c r="AG53" s="5" t="s">
        <v>96</v>
      </c>
      <c r="AH53" s="4" t="s">
        <v>115</v>
      </c>
      <c r="AI53" s="4" t="str">
        <f t="shared" si="7"/>
        <v>T19 Hydro (125T)</v>
      </c>
      <c r="AJ53" s="4" t="str">
        <f t="shared" si="8"/>
        <v>T19 Hydro (Vnish)</v>
      </c>
      <c r="AK53" s="4">
        <v>0</v>
      </c>
      <c r="AL53" s="4">
        <v>0</v>
      </c>
    </row>
    <row r="54" spans="1:38" x14ac:dyDescent="0.25">
      <c r="A54" s="4" t="s">
        <v>246</v>
      </c>
      <c r="B54" s="4">
        <v>132</v>
      </c>
      <c r="C54" s="4" t="s">
        <v>247</v>
      </c>
      <c r="D54" s="4" t="s">
        <v>241</v>
      </c>
      <c r="E54" s="4" t="s">
        <v>242</v>
      </c>
      <c r="F54" s="4" t="s">
        <v>243</v>
      </c>
      <c r="G54" s="4" t="s">
        <v>229</v>
      </c>
      <c r="H54" s="4">
        <v>2022</v>
      </c>
      <c r="I54" s="4">
        <v>37.5</v>
      </c>
      <c r="J54" s="4">
        <v>4950</v>
      </c>
      <c r="K54" s="4" t="s">
        <v>107</v>
      </c>
      <c r="L54" s="4" t="s">
        <v>115</v>
      </c>
      <c r="N54" s="4" t="s">
        <v>42</v>
      </c>
      <c r="P54" s="4">
        <v>4</v>
      </c>
      <c r="R54" s="4" t="s">
        <v>603</v>
      </c>
      <c r="S54" s="4" t="s">
        <v>115</v>
      </c>
      <c r="T54" s="4" t="s">
        <v>110</v>
      </c>
      <c r="U54" s="14">
        <v>0</v>
      </c>
      <c r="V54" s="4" t="s">
        <v>45</v>
      </c>
      <c r="W54" s="4" t="s">
        <v>115</v>
      </c>
      <c r="X54" s="4" t="s">
        <v>46</v>
      </c>
      <c r="Y54" s="4" t="s">
        <v>111</v>
      </c>
      <c r="Z54" s="4" t="s">
        <v>96</v>
      </c>
      <c r="AA54" s="4" t="s">
        <v>96</v>
      </c>
      <c r="AB54" s="4" t="s">
        <v>112</v>
      </c>
      <c r="AC54" s="4" t="s">
        <v>112</v>
      </c>
      <c r="AD54" s="4" t="s">
        <v>113</v>
      </c>
      <c r="AE54" s="4" t="s">
        <v>114</v>
      </c>
      <c r="AF54" s="4" t="s">
        <v>54</v>
      </c>
      <c r="AG54" s="5" t="s">
        <v>96</v>
      </c>
      <c r="AH54" s="4" t="s">
        <v>115</v>
      </c>
      <c r="AI54" s="4" t="str">
        <f t="shared" si="7"/>
        <v>T19 Hydro (132T)</v>
      </c>
      <c r="AJ54" s="4" t="str">
        <f t="shared" si="8"/>
        <v>T19 Hydro (Vnish)</v>
      </c>
      <c r="AK54" s="4">
        <v>0</v>
      </c>
      <c r="AL54" s="4">
        <v>0</v>
      </c>
    </row>
    <row r="55" spans="1:38" x14ac:dyDescent="0.25">
      <c r="A55" s="4" t="s">
        <v>248</v>
      </c>
      <c r="B55" s="4">
        <v>138.5</v>
      </c>
      <c r="C55" s="4" t="s">
        <v>249</v>
      </c>
      <c r="D55" s="4" t="s">
        <v>241</v>
      </c>
      <c r="E55" s="4" t="s">
        <v>242</v>
      </c>
      <c r="F55" s="4" t="s">
        <v>243</v>
      </c>
      <c r="G55" s="4" t="s">
        <v>229</v>
      </c>
      <c r="H55" s="4">
        <v>2022</v>
      </c>
      <c r="I55" s="4">
        <v>37.5</v>
      </c>
      <c r="J55" s="4">
        <v>5194</v>
      </c>
      <c r="K55" s="4" t="s">
        <v>107</v>
      </c>
      <c r="L55" s="4" t="s">
        <v>115</v>
      </c>
      <c r="N55" s="4" t="s">
        <v>42</v>
      </c>
      <c r="P55" s="4">
        <v>4</v>
      </c>
      <c r="R55" s="4" t="s">
        <v>603</v>
      </c>
      <c r="S55" s="4" t="s">
        <v>115</v>
      </c>
      <c r="T55" s="4" t="s">
        <v>110</v>
      </c>
      <c r="U55" s="14">
        <v>0</v>
      </c>
      <c r="V55" s="4" t="s">
        <v>45</v>
      </c>
      <c r="W55" s="4" t="s">
        <v>115</v>
      </c>
      <c r="X55" s="4" t="s">
        <v>46</v>
      </c>
      <c r="Y55" s="4" t="s">
        <v>111</v>
      </c>
      <c r="Z55" s="4" t="s">
        <v>96</v>
      </c>
      <c r="AA55" s="4" t="s">
        <v>96</v>
      </c>
      <c r="AB55" s="4" t="s">
        <v>112</v>
      </c>
      <c r="AC55" s="4" t="s">
        <v>112</v>
      </c>
      <c r="AD55" s="4" t="s">
        <v>113</v>
      </c>
      <c r="AE55" s="4" t="s">
        <v>114</v>
      </c>
      <c r="AF55" s="4" t="s">
        <v>54</v>
      </c>
      <c r="AG55" s="5" t="s">
        <v>96</v>
      </c>
      <c r="AH55" s="4" t="s">
        <v>115</v>
      </c>
      <c r="AI55" s="4" t="str">
        <f t="shared" si="7"/>
        <v>T19 Hydro (138.5T)</v>
      </c>
      <c r="AJ55" s="4" t="str">
        <f t="shared" si="8"/>
        <v>T19 Hydro (Vnish)</v>
      </c>
      <c r="AK55" s="4">
        <v>0</v>
      </c>
      <c r="AL55" s="4">
        <v>0</v>
      </c>
    </row>
    <row r="56" spans="1:38" x14ac:dyDescent="0.25">
      <c r="A56" s="4" t="s">
        <v>250</v>
      </c>
      <c r="B56" s="4">
        <v>177</v>
      </c>
      <c r="C56" s="4" t="s">
        <v>251</v>
      </c>
      <c r="D56" s="4" t="s">
        <v>252</v>
      </c>
      <c r="E56" s="4" t="s">
        <v>253</v>
      </c>
      <c r="F56" s="4" t="s">
        <v>254</v>
      </c>
      <c r="G56" s="4" t="s">
        <v>76</v>
      </c>
      <c r="H56" s="4">
        <v>2023</v>
      </c>
      <c r="I56" s="4">
        <v>27.5</v>
      </c>
      <c r="J56" s="4">
        <v>4868</v>
      </c>
      <c r="K56" s="4" t="s">
        <v>107</v>
      </c>
      <c r="L56" s="4" t="s">
        <v>115</v>
      </c>
      <c r="N56" s="4" t="s">
        <v>79</v>
      </c>
      <c r="O56" s="4">
        <v>180</v>
      </c>
      <c r="P56" s="4">
        <v>4</v>
      </c>
      <c r="Q56" s="4">
        <f t="shared" ref="Q56:Q77" si="9">O56*P56</f>
        <v>720</v>
      </c>
      <c r="R56" s="4" t="s">
        <v>603</v>
      </c>
      <c r="S56" s="4" t="s">
        <v>115</v>
      </c>
      <c r="T56" s="4" t="s">
        <v>110</v>
      </c>
      <c r="U56" s="14">
        <v>0</v>
      </c>
      <c r="V56" s="4" t="s">
        <v>45</v>
      </c>
      <c r="W56" s="4">
        <v>2</v>
      </c>
      <c r="X56" s="4" t="s">
        <v>46</v>
      </c>
      <c r="Y56" s="4" t="s">
        <v>111</v>
      </c>
      <c r="Z56" s="4" t="s">
        <v>96</v>
      </c>
      <c r="AA56" s="4" t="s">
        <v>96</v>
      </c>
      <c r="AB56" s="4" t="s">
        <v>112</v>
      </c>
      <c r="AC56" s="4" t="s">
        <v>112</v>
      </c>
      <c r="AD56" s="4" t="s">
        <v>113</v>
      </c>
      <c r="AE56" s="4" t="s">
        <v>114</v>
      </c>
      <c r="AF56" s="4" t="s">
        <v>54</v>
      </c>
      <c r="AG56" s="5" t="s">
        <v>96</v>
      </c>
      <c r="AH56" s="4" t="s">
        <v>115</v>
      </c>
      <c r="AK56" s="4">
        <v>0</v>
      </c>
      <c r="AL56" s="4">
        <v>0</v>
      </c>
    </row>
    <row r="57" spans="1:38" x14ac:dyDescent="0.25">
      <c r="A57" s="4" t="s">
        <v>250</v>
      </c>
      <c r="B57" s="4">
        <v>198</v>
      </c>
      <c r="C57" s="4" t="s">
        <v>255</v>
      </c>
      <c r="D57" s="4" t="s">
        <v>252</v>
      </c>
      <c r="E57" s="4" t="s">
        <v>253</v>
      </c>
      <c r="F57" s="4" t="s">
        <v>254</v>
      </c>
      <c r="G57" s="4" t="s">
        <v>76</v>
      </c>
      <c r="H57" s="4">
        <v>2023</v>
      </c>
      <c r="I57" s="4">
        <v>27.5</v>
      </c>
      <c r="J57" s="4">
        <v>5445</v>
      </c>
      <c r="K57" s="4" t="s">
        <v>107</v>
      </c>
      <c r="L57" s="4" t="s">
        <v>115</v>
      </c>
      <c r="N57" s="4" t="s">
        <v>79</v>
      </c>
      <c r="O57" s="4">
        <v>180</v>
      </c>
      <c r="P57" s="4">
        <v>4</v>
      </c>
      <c r="Q57" s="4">
        <f t="shared" si="9"/>
        <v>720</v>
      </c>
      <c r="R57" s="4" t="s">
        <v>603</v>
      </c>
      <c r="S57" s="4" t="s">
        <v>115</v>
      </c>
      <c r="T57" s="4" t="s">
        <v>110</v>
      </c>
      <c r="U57" s="14">
        <v>0</v>
      </c>
      <c r="V57" s="4" t="s">
        <v>45</v>
      </c>
      <c r="W57" s="4">
        <v>2</v>
      </c>
      <c r="X57" s="4" t="s">
        <v>46</v>
      </c>
      <c r="Y57" s="4" t="s">
        <v>111</v>
      </c>
      <c r="Z57" s="4" t="s">
        <v>96</v>
      </c>
      <c r="AA57" s="4" t="s">
        <v>96</v>
      </c>
      <c r="AB57" s="4" t="s">
        <v>112</v>
      </c>
      <c r="AC57" s="4" t="s">
        <v>112</v>
      </c>
      <c r="AD57" s="4" t="s">
        <v>113</v>
      </c>
      <c r="AE57" s="4" t="s">
        <v>114</v>
      </c>
      <c r="AF57" s="4" t="s">
        <v>54</v>
      </c>
      <c r="AG57" s="5" t="s">
        <v>96</v>
      </c>
      <c r="AH57" s="4" t="s">
        <v>115</v>
      </c>
      <c r="AK57" s="4">
        <v>0</v>
      </c>
      <c r="AL57" s="4">
        <v>0</v>
      </c>
    </row>
    <row r="58" spans="1:38" x14ac:dyDescent="0.25">
      <c r="A58" s="4" t="s">
        <v>256</v>
      </c>
      <c r="B58" s="4">
        <v>170</v>
      </c>
      <c r="C58" s="4" t="s">
        <v>257</v>
      </c>
      <c r="D58" s="4" t="s">
        <v>252</v>
      </c>
      <c r="E58" s="4" t="s">
        <v>253</v>
      </c>
      <c r="F58" s="4" t="s">
        <v>254</v>
      </c>
      <c r="G58" s="4" t="s">
        <v>76</v>
      </c>
      <c r="H58" s="4">
        <v>2023</v>
      </c>
      <c r="I58" s="4">
        <v>27.5</v>
      </c>
      <c r="J58" s="4">
        <v>4675</v>
      </c>
      <c r="K58" s="4" t="s">
        <v>107</v>
      </c>
      <c r="L58" s="4" t="s">
        <v>115</v>
      </c>
      <c r="N58" s="4" t="s">
        <v>79</v>
      </c>
      <c r="O58" s="4">
        <v>180</v>
      </c>
      <c r="P58" s="4">
        <v>4</v>
      </c>
      <c r="Q58" s="4">
        <f t="shared" si="9"/>
        <v>720</v>
      </c>
      <c r="R58" s="4" t="s">
        <v>603</v>
      </c>
      <c r="S58" s="4" t="s">
        <v>115</v>
      </c>
      <c r="T58" s="4" t="s">
        <v>110</v>
      </c>
      <c r="U58" s="14">
        <v>0</v>
      </c>
      <c r="V58" s="4" t="s">
        <v>45</v>
      </c>
      <c r="W58" s="4">
        <v>2</v>
      </c>
      <c r="X58" s="4" t="s">
        <v>46</v>
      </c>
      <c r="Y58" s="4" t="s">
        <v>111</v>
      </c>
      <c r="Z58" s="4" t="s">
        <v>96</v>
      </c>
      <c r="AA58" s="4" t="s">
        <v>96</v>
      </c>
      <c r="AB58" s="4" t="s">
        <v>112</v>
      </c>
      <c r="AC58" s="4" t="s">
        <v>112</v>
      </c>
      <c r="AD58" s="4" t="s">
        <v>113</v>
      </c>
      <c r="AE58" s="4" t="s">
        <v>114</v>
      </c>
      <c r="AF58" s="4" t="s">
        <v>54</v>
      </c>
      <c r="AG58" s="5" t="s">
        <v>96</v>
      </c>
      <c r="AH58" s="4" t="s">
        <v>115</v>
      </c>
      <c r="AK58" s="4">
        <v>0</v>
      </c>
      <c r="AL58" s="4">
        <v>0</v>
      </c>
    </row>
    <row r="59" spans="1:38" x14ac:dyDescent="0.25">
      <c r="A59" s="4" t="s">
        <v>256</v>
      </c>
      <c r="B59" s="4">
        <v>191</v>
      </c>
      <c r="C59" s="4" t="s">
        <v>258</v>
      </c>
      <c r="D59" s="4" t="s">
        <v>252</v>
      </c>
      <c r="E59" s="4" t="s">
        <v>253</v>
      </c>
      <c r="F59" s="4" t="s">
        <v>254</v>
      </c>
      <c r="G59" s="4" t="s">
        <v>76</v>
      </c>
      <c r="H59" s="4">
        <v>2023</v>
      </c>
      <c r="I59" s="4">
        <v>27.5</v>
      </c>
      <c r="J59" s="4">
        <v>5253</v>
      </c>
      <c r="K59" s="4" t="s">
        <v>107</v>
      </c>
      <c r="L59" s="4" t="s">
        <v>115</v>
      </c>
      <c r="N59" s="4" t="s">
        <v>79</v>
      </c>
      <c r="O59" s="4">
        <v>180</v>
      </c>
      <c r="P59" s="4">
        <v>4</v>
      </c>
      <c r="Q59" s="4">
        <f t="shared" si="9"/>
        <v>720</v>
      </c>
      <c r="R59" s="4" t="s">
        <v>603</v>
      </c>
      <c r="S59" s="4" t="s">
        <v>115</v>
      </c>
      <c r="T59" s="4" t="s">
        <v>110</v>
      </c>
      <c r="U59" s="14">
        <v>0</v>
      </c>
      <c r="V59" s="4" t="s">
        <v>45</v>
      </c>
      <c r="W59" s="4">
        <v>2</v>
      </c>
      <c r="X59" s="4" t="s">
        <v>46</v>
      </c>
      <c r="Y59" s="4" t="s">
        <v>111</v>
      </c>
      <c r="Z59" s="4" t="s">
        <v>96</v>
      </c>
      <c r="AA59" s="4" t="s">
        <v>96</v>
      </c>
      <c r="AB59" s="4" t="s">
        <v>112</v>
      </c>
      <c r="AC59" s="4" t="s">
        <v>112</v>
      </c>
      <c r="AD59" s="4" t="s">
        <v>113</v>
      </c>
      <c r="AE59" s="4" t="s">
        <v>114</v>
      </c>
      <c r="AF59" s="4" t="s">
        <v>54</v>
      </c>
      <c r="AG59" s="5" t="s">
        <v>96</v>
      </c>
      <c r="AH59" s="4" t="s">
        <v>115</v>
      </c>
      <c r="AK59" s="4">
        <v>1</v>
      </c>
      <c r="AL59" s="4">
        <v>0</v>
      </c>
    </row>
    <row r="60" spans="1:38" x14ac:dyDescent="0.25">
      <c r="A60" s="4" t="s">
        <v>259</v>
      </c>
      <c r="B60" s="4">
        <v>184</v>
      </c>
      <c r="C60" s="4" t="s">
        <v>260</v>
      </c>
      <c r="D60" s="4" t="s">
        <v>252</v>
      </c>
      <c r="E60" s="4" t="s">
        <v>253</v>
      </c>
      <c r="F60" s="4" t="s">
        <v>254</v>
      </c>
      <c r="G60" s="4" t="s">
        <v>76</v>
      </c>
      <c r="H60" s="4">
        <v>2023</v>
      </c>
      <c r="I60" s="4">
        <v>27.5</v>
      </c>
      <c r="J60" s="4">
        <v>5060</v>
      </c>
      <c r="K60" s="4" t="s">
        <v>107</v>
      </c>
      <c r="L60" s="4" t="s">
        <v>115</v>
      </c>
      <c r="N60" s="4" t="s">
        <v>79</v>
      </c>
      <c r="O60" s="4">
        <v>180</v>
      </c>
      <c r="P60" s="4">
        <v>4</v>
      </c>
      <c r="Q60" s="4">
        <f t="shared" si="9"/>
        <v>720</v>
      </c>
      <c r="R60" s="4" t="s">
        <v>603</v>
      </c>
      <c r="S60" s="4" t="s">
        <v>115</v>
      </c>
      <c r="T60" s="4" t="s">
        <v>110</v>
      </c>
      <c r="U60" s="14">
        <v>0</v>
      </c>
      <c r="V60" s="4" t="s">
        <v>45</v>
      </c>
      <c r="W60" s="4">
        <v>2</v>
      </c>
      <c r="X60" s="4" t="s">
        <v>46</v>
      </c>
      <c r="Y60" s="4" t="s">
        <v>111</v>
      </c>
      <c r="Z60" s="4" t="s">
        <v>96</v>
      </c>
      <c r="AA60" s="4" t="s">
        <v>96</v>
      </c>
      <c r="AB60" s="4" t="s">
        <v>112</v>
      </c>
      <c r="AC60" s="4" t="s">
        <v>112</v>
      </c>
      <c r="AD60" s="4" t="s">
        <v>113</v>
      </c>
      <c r="AE60" s="4" t="s">
        <v>114</v>
      </c>
      <c r="AF60" s="4" t="s">
        <v>54</v>
      </c>
      <c r="AG60" s="5" t="s">
        <v>96</v>
      </c>
      <c r="AH60" s="4" t="s">
        <v>115</v>
      </c>
      <c r="AK60" s="4">
        <v>0</v>
      </c>
      <c r="AL60" s="4">
        <v>0</v>
      </c>
    </row>
    <row r="61" spans="1:38" x14ac:dyDescent="0.25">
      <c r="A61" s="4" t="s">
        <v>261</v>
      </c>
      <c r="B61" s="4">
        <v>104</v>
      </c>
      <c r="C61" s="4" t="s">
        <v>187</v>
      </c>
      <c r="D61" s="4" t="str">
        <f t="shared" ref="D61:D77" si="10">MID(A61,1,2)</f>
        <v>DW</v>
      </c>
      <c r="E61" s="4" t="s">
        <v>178</v>
      </c>
      <c r="F61" s="4" t="s">
        <v>184</v>
      </c>
      <c r="G61" s="4" t="s">
        <v>160</v>
      </c>
      <c r="H61" s="4">
        <v>2021</v>
      </c>
      <c r="I61" s="4">
        <v>29.5</v>
      </c>
      <c r="J61" s="11">
        <f t="shared" ref="J61:J77" si="11">B61*I61</f>
        <v>3068</v>
      </c>
      <c r="K61" s="11" t="s">
        <v>39</v>
      </c>
      <c r="L61" s="4" t="s">
        <v>185</v>
      </c>
      <c r="N61" s="4" t="s">
        <v>79</v>
      </c>
      <c r="O61" s="4">
        <v>126</v>
      </c>
      <c r="P61" s="4">
        <v>3</v>
      </c>
      <c r="Q61" s="4">
        <f t="shared" si="9"/>
        <v>378</v>
      </c>
      <c r="R61" s="4" t="s">
        <v>43</v>
      </c>
      <c r="S61" s="4" t="s">
        <v>601</v>
      </c>
      <c r="T61" s="4" t="s">
        <v>181</v>
      </c>
      <c r="U61" s="14">
        <v>0</v>
      </c>
      <c r="V61" s="4" t="s">
        <v>45</v>
      </c>
      <c r="W61" s="4">
        <v>4</v>
      </c>
      <c r="X61" s="4" t="s">
        <v>46</v>
      </c>
      <c r="Y61" s="4" t="s">
        <v>47</v>
      </c>
      <c r="Z61" s="4" t="s">
        <v>48</v>
      </c>
      <c r="AA61" s="4">
        <v>6000</v>
      </c>
      <c r="AB61" s="4" t="s">
        <v>62</v>
      </c>
      <c r="AC61" s="4" t="s">
        <v>50</v>
      </c>
      <c r="AD61" s="4" t="s">
        <v>51</v>
      </c>
      <c r="AE61" s="4" t="s">
        <v>52</v>
      </c>
      <c r="AF61" s="4" t="s">
        <v>46</v>
      </c>
      <c r="AG61" s="5" t="s">
        <v>53</v>
      </c>
      <c r="AH61" s="4" t="s">
        <v>54</v>
      </c>
      <c r="AI61" s="4" t="str">
        <f t="shared" ref="AI61:AI77" si="12">_xlfn.TEXTBEFORE(C61,"_") &amp; " (" &amp; _xlfn.TEXTAFTER(C61,"_") &amp; ")"</f>
        <v>S19j Pro (104T)</v>
      </c>
      <c r="AJ61" s="4" t="str">
        <f t="shared" ref="AJ61:AJ77" si="13">_xlfn.TEXTBEFORE(C61,"_") &amp; " (Vnish)"</f>
        <v>S19j Pro (Vnish)</v>
      </c>
      <c r="AK61" s="4">
        <v>0</v>
      </c>
      <c r="AL61" s="4">
        <v>1</v>
      </c>
    </row>
    <row r="62" spans="1:38" x14ac:dyDescent="0.25">
      <c r="A62" s="4" t="s">
        <v>182</v>
      </c>
      <c r="B62" s="4">
        <v>100</v>
      </c>
      <c r="C62" s="4" t="s">
        <v>183</v>
      </c>
      <c r="D62" s="4" t="str">
        <f t="shared" si="10"/>
        <v>DW</v>
      </c>
      <c r="E62" s="4" t="s">
        <v>178</v>
      </c>
      <c r="F62" s="4" t="s">
        <v>184</v>
      </c>
      <c r="G62" s="4" t="s">
        <v>160</v>
      </c>
      <c r="H62" s="4">
        <v>2021</v>
      </c>
      <c r="I62" s="4">
        <v>29.5</v>
      </c>
      <c r="J62" s="11">
        <f t="shared" si="11"/>
        <v>2950</v>
      </c>
      <c r="K62" s="11" t="s">
        <v>39</v>
      </c>
      <c r="L62" s="4" t="s">
        <v>185</v>
      </c>
      <c r="N62" s="4" t="s">
        <v>79</v>
      </c>
      <c r="O62" s="4">
        <v>126</v>
      </c>
      <c r="P62" s="4">
        <v>3</v>
      </c>
      <c r="Q62" s="4">
        <f t="shared" si="9"/>
        <v>378</v>
      </c>
      <c r="R62" s="4" t="s">
        <v>43</v>
      </c>
      <c r="S62" s="4" t="s">
        <v>601</v>
      </c>
      <c r="T62" s="4" t="s">
        <v>181</v>
      </c>
      <c r="U62" s="14">
        <v>0</v>
      </c>
      <c r="V62" s="4" t="s">
        <v>45</v>
      </c>
      <c r="W62" s="4">
        <v>4</v>
      </c>
      <c r="X62" s="4" t="s">
        <v>46</v>
      </c>
      <c r="Y62" s="4" t="s">
        <v>47</v>
      </c>
      <c r="Z62" s="4" t="s">
        <v>48</v>
      </c>
      <c r="AA62" s="4">
        <v>6000</v>
      </c>
      <c r="AB62" s="4" t="s">
        <v>62</v>
      </c>
      <c r="AC62" s="4" t="s">
        <v>50</v>
      </c>
      <c r="AD62" s="4" t="s">
        <v>51</v>
      </c>
      <c r="AE62" s="4" t="s">
        <v>52</v>
      </c>
      <c r="AF62" s="4" t="s">
        <v>46</v>
      </c>
      <c r="AG62" s="5" t="s">
        <v>53</v>
      </c>
      <c r="AH62" s="4" t="s">
        <v>54</v>
      </c>
      <c r="AI62" s="4" t="str">
        <f t="shared" si="12"/>
        <v>S19j Pro (100T)</v>
      </c>
      <c r="AJ62" s="4" t="str">
        <f t="shared" si="13"/>
        <v>S19j Pro (Vnish)</v>
      </c>
      <c r="AK62" s="4">
        <v>0</v>
      </c>
      <c r="AL62" s="4">
        <v>1</v>
      </c>
    </row>
    <row r="63" spans="1:38" x14ac:dyDescent="0.25">
      <c r="A63" s="4" t="s">
        <v>265</v>
      </c>
      <c r="B63" s="4">
        <v>96</v>
      </c>
      <c r="C63" s="4" t="s">
        <v>177</v>
      </c>
      <c r="D63" s="4" t="str">
        <f t="shared" si="10"/>
        <v>DW</v>
      </c>
      <c r="E63" s="4" t="s">
        <v>178</v>
      </c>
      <c r="F63" s="4" t="s">
        <v>184</v>
      </c>
      <c r="G63" s="4" t="s">
        <v>160</v>
      </c>
      <c r="H63" s="4">
        <v>2021</v>
      </c>
      <c r="I63" s="4">
        <v>29.5</v>
      </c>
      <c r="J63" s="11">
        <f t="shared" si="11"/>
        <v>2832</v>
      </c>
      <c r="K63" s="11" t="s">
        <v>39</v>
      </c>
      <c r="L63" s="4" t="s">
        <v>185</v>
      </c>
      <c r="N63" s="4" t="s">
        <v>79</v>
      </c>
      <c r="O63" s="4">
        <v>126</v>
      </c>
      <c r="P63" s="4">
        <v>3</v>
      </c>
      <c r="Q63" s="4">
        <f t="shared" si="9"/>
        <v>378</v>
      </c>
      <c r="R63" s="4" t="s">
        <v>43</v>
      </c>
      <c r="S63" s="4" t="s">
        <v>601</v>
      </c>
      <c r="T63" s="4" t="s">
        <v>181</v>
      </c>
      <c r="U63" s="14">
        <v>0</v>
      </c>
      <c r="V63" s="4" t="s">
        <v>45</v>
      </c>
      <c r="W63" s="4">
        <v>4</v>
      </c>
      <c r="X63" s="4" t="s">
        <v>46</v>
      </c>
      <c r="Y63" s="4" t="s">
        <v>47</v>
      </c>
      <c r="Z63" s="4" t="s">
        <v>48</v>
      </c>
      <c r="AA63" s="4">
        <v>6000</v>
      </c>
      <c r="AB63" s="4" t="s">
        <v>62</v>
      </c>
      <c r="AC63" s="4" t="s">
        <v>50</v>
      </c>
      <c r="AD63" s="4" t="s">
        <v>51</v>
      </c>
      <c r="AE63" s="4" t="s">
        <v>52</v>
      </c>
      <c r="AF63" s="4" t="s">
        <v>46</v>
      </c>
      <c r="AG63" s="5" t="s">
        <v>53</v>
      </c>
      <c r="AH63" s="4" t="s">
        <v>54</v>
      </c>
      <c r="AI63" s="4" t="str">
        <f t="shared" si="12"/>
        <v>S19j Pro (96T)</v>
      </c>
      <c r="AJ63" s="4" t="str">
        <f t="shared" si="13"/>
        <v>S19j Pro (Vnish)</v>
      </c>
      <c r="AK63" s="4">
        <v>0</v>
      </c>
      <c r="AL63" s="4">
        <v>1</v>
      </c>
    </row>
    <row r="64" spans="1:38" x14ac:dyDescent="0.25">
      <c r="A64" s="4" t="s">
        <v>266</v>
      </c>
      <c r="B64" s="4">
        <v>104</v>
      </c>
      <c r="C64" s="4" t="s">
        <v>187</v>
      </c>
      <c r="D64" s="4" t="str">
        <f t="shared" si="10"/>
        <v>DX</v>
      </c>
      <c r="E64" s="4" t="s">
        <v>178</v>
      </c>
      <c r="F64" s="4" t="s">
        <v>267</v>
      </c>
      <c r="G64" s="4" t="s">
        <v>229</v>
      </c>
      <c r="H64" s="4">
        <v>2022</v>
      </c>
      <c r="I64" s="4">
        <v>29.5</v>
      </c>
      <c r="J64" s="11">
        <f t="shared" si="11"/>
        <v>3068</v>
      </c>
      <c r="K64" s="11" t="s">
        <v>39</v>
      </c>
      <c r="L64" s="4" t="s">
        <v>268</v>
      </c>
      <c r="M64" s="4" t="s">
        <v>269</v>
      </c>
      <c r="N64" s="4" t="s">
        <v>79</v>
      </c>
      <c r="O64" s="4">
        <v>126</v>
      </c>
      <c r="P64" s="4">
        <v>3</v>
      </c>
      <c r="Q64" s="4">
        <f t="shared" si="9"/>
        <v>378</v>
      </c>
      <c r="R64" s="4" t="s">
        <v>80</v>
      </c>
      <c r="S64" s="4" t="s">
        <v>600</v>
      </c>
      <c r="T64" s="4" t="s">
        <v>181</v>
      </c>
      <c r="U64" s="14">
        <v>0</v>
      </c>
      <c r="V64" s="4" t="s">
        <v>124</v>
      </c>
      <c r="W64" s="4">
        <v>2</v>
      </c>
      <c r="X64" s="4" t="s">
        <v>54</v>
      </c>
      <c r="Y64" s="4" t="s">
        <v>47</v>
      </c>
      <c r="Z64" s="4" t="s">
        <v>48</v>
      </c>
      <c r="AA64" s="4">
        <v>6000</v>
      </c>
      <c r="AB64" s="4" t="s">
        <v>62</v>
      </c>
      <c r="AC64" s="4" t="s">
        <v>50</v>
      </c>
      <c r="AD64" s="4" t="s">
        <v>51</v>
      </c>
      <c r="AE64" s="4" t="s">
        <v>52</v>
      </c>
      <c r="AF64" s="4" t="s">
        <v>46</v>
      </c>
      <c r="AG64" s="5" t="s">
        <v>53</v>
      </c>
      <c r="AH64" s="4" t="s">
        <v>54</v>
      </c>
      <c r="AI64" s="4" t="str">
        <f t="shared" si="12"/>
        <v>S19j Pro (104T)</v>
      </c>
      <c r="AJ64" s="4" t="str">
        <f t="shared" si="13"/>
        <v>S19j Pro (Vnish)</v>
      </c>
      <c r="AK64" s="4">
        <v>0</v>
      </c>
      <c r="AL64" s="4">
        <v>1</v>
      </c>
    </row>
    <row r="65" spans="1:38" x14ac:dyDescent="0.25">
      <c r="A65" s="4" t="s">
        <v>270</v>
      </c>
      <c r="B65" s="4">
        <v>100</v>
      </c>
      <c r="C65" s="4" t="s">
        <v>183</v>
      </c>
      <c r="D65" s="4" t="str">
        <f t="shared" si="10"/>
        <v>DX</v>
      </c>
      <c r="E65" s="4" t="s">
        <v>178</v>
      </c>
      <c r="F65" s="4" t="s">
        <v>267</v>
      </c>
      <c r="G65" s="4" t="s">
        <v>229</v>
      </c>
      <c r="H65" s="4">
        <v>2022</v>
      </c>
      <c r="I65" s="4">
        <v>29.5</v>
      </c>
      <c r="J65" s="11">
        <f t="shared" si="11"/>
        <v>2950</v>
      </c>
      <c r="K65" s="11" t="s">
        <v>39</v>
      </c>
      <c r="L65" s="4" t="s">
        <v>268</v>
      </c>
      <c r="M65" s="4" t="s">
        <v>269</v>
      </c>
      <c r="N65" s="4" t="s">
        <v>79</v>
      </c>
      <c r="O65" s="4">
        <v>126</v>
      </c>
      <c r="P65" s="4">
        <v>3</v>
      </c>
      <c r="Q65" s="4">
        <f t="shared" si="9"/>
        <v>378</v>
      </c>
      <c r="R65" s="4" t="s">
        <v>80</v>
      </c>
      <c r="S65" s="4" t="s">
        <v>600</v>
      </c>
      <c r="T65" s="4" t="s">
        <v>181</v>
      </c>
      <c r="U65" s="14">
        <v>0</v>
      </c>
      <c r="V65" s="4" t="s">
        <v>124</v>
      </c>
      <c r="W65" s="4">
        <v>2</v>
      </c>
      <c r="X65" s="4" t="s">
        <v>54</v>
      </c>
      <c r="Y65" s="4" t="s">
        <v>47</v>
      </c>
      <c r="Z65" s="4" t="s">
        <v>48</v>
      </c>
      <c r="AA65" s="4">
        <v>6000</v>
      </c>
      <c r="AB65" s="4" t="s">
        <v>62</v>
      </c>
      <c r="AC65" s="4" t="s">
        <v>50</v>
      </c>
      <c r="AD65" s="4" t="s">
        <v>51</v>
      </c>
      <c r="AE65" s="4" t="s">
        <v>52</v>
      </c>
      <c r="AF65" s="4" t="s">
        <v>46</v>
      </c>
      <c r="AG65" s="5" t="s">
        <v>53</v>
      </c>
      <c r="AH65" s="4" t="s">
        <v>54</v>
      </c>
      <c r="AI65" s="4" t="str">
        <f t="shared" si="12"/>
        <v>S19j Pro (100T)</v>
      </c>
      <c r="AJ65" s="4" t="str">
        <f t="shared" si="13"/>
        <v>S19j Pro (Vnish)</v>
      </c>
      <c r="AK65" s="4">
        <v>0</v>
      </c>
      <c r="AL65" s="4">
        <v>1</v>
      </c>
    </row>
    <row r="66" spans="1:38" x14ac:dyDescent="0.25">
      <c r="A66" s="4" t="s">
        <v>271</v>
      </c>
      <c r="B66" s="4">
        <v>96</v>
      </c>
      <c r="C66" s="4" t="s">
        <v>177</v>
      </c>
      <c r="D66" s="4" t="str">
        <f t="shared" si="10"/>
        <v>DX</v>
      </c>
      <c r="E66" s="4" t="s">
        <v>178</v>
      </c>
      <c r="F66" s="4" t="s">
        <v>267</v>
      </c>
      <c r="G66" s="4" t="s">
        <v>229</v>
      </c>
      <c r="H66" s="4">
        <v>2022</v>
      </c>
      <c r="I66" s="4">
        <v>29.5</v>
      </c>
      <c r="J66" s="11">
        <f t="shared" si="11"/>
        <v>2832</v>
      </c>
      <c r="K66" s="11" t="s">
        <v>39</v>
      </c>
      <c r="L66" s="4" t="s">
        <v>268</v>
      </c>
      <c r="M66" s="4" t="s">
        <v>269</v>
      </c>
      <c r="N66" s="4" t="s">
        <v>79</v>
      </c>
      <c r="O66" s="4">
        <v>126</v>
      </c>
      <c r="P66" s="4">
        <v>3</v>
      </c>
      <c r="Q66" s="4">
        <f t="shared" si="9"/>
        <v>378</v>
      </c>
      <c r="R66" s="4" t="s">
        <v>80</v>
      </c>
      <c r="S66" s="4" t="s">
        <v>600</v>
      </c>
      <c r="T66" s="4" t="s">
        <v>181</v>
      </c>
      <c r="U66" s="14">
        <v>0</v>
      </c>
      <c r="V66" s="4" t="s">
        <v>124</v>
      </c>
      <c r="W66" s="4">
        <v>2</v>
      </c>
      <c r="X66" s="4" t="s">
        <v>54</v>
      </c>
      <c r="Y66" s="4" t="s">
        <v>47</v>
      </c>
      <c r="Z66" s="4" t="s">
        <v>48</v>
      </c>
      <c r="AA66" s="4">
        <v>6000</v>
      </c>
      <c r="AB66" s="4" t="s">
        <v>62</v>
      </c>
      <c r="AC66" s="4" t="s">
        <v>50</v>
      </c>
      <c r="AD66" s="4" t="s">
        <v>51</v>
      </c>
      <c r="AE66" s="4" t="s">
        <v>52</v>
      </c>
      <c r="AF66" s="4" t="s">
        <v>46</v>
      </c>
      <c r="AG66" s="5" t="s">
        <v>53</v>
      </c>
      <c r="AH66" s="4" t="s">
        <v>54</v>
      </c>
      <c r="AI66" s="4" t="str">
        <f t="shared" si="12"/>
        <v>S19j Pro (96T)</v>
      </c>
      <c r="AJ66" s="4" t="str">
        <f t="shared" si="13"/>
        <v>S19j Pro (Vnish)</v>
      </c>
      <c r="AK66" s="4">
        <v>0</v>
      </c>
      <c r="AL66" s="4">
        <v>1</v>
      </c>
    </row>
    <row r="67" spans="1:38" x14ac:dyDescent="0.25">
      <c r="A67" s="4" t="s">
        <v>272</v>
      </c>
      <c r="B67" s="4">
        <v>92</v>
      </c>
      <c r="C67" s="4" t="s">
        <v>189</v>
      </c>
      <c r="D67" s="4" t="str">
        <f t="shared" si="10"/>
        <v>DX</v>
      </c>
      <c r="E67" s="4" t="s">
        <v>178</v>
      </c>
      <c r="F67" s="4" t="s">
        <v>267</v>
      </c>
      <c r="G67" s="4" t="s">
        <v>229</v>
      </c>
      <c r="H67" s="4">
        <v>2022</v>
      </c>
      <c r="I67" s="4">
        <v>29.5</v>
      </c>
      <c r="J67" s="11">
        <f t="shared" si="11"/>
        <v>2714</v>
      </c>
      <c r="K67" s="11" t="s">
        <v>39</v>
      </c>
      <c r="L67" s="4" t="s">
        <v>268</v>
      </c>
      <c r="M67" s="4" t="s">
        <v>269</v>
      </c>
      <c r="N67" s="4" t="s">
        <v>79</v>
      </c>
      <c r="O67" s="4">
        <v>126</v>
      </c>
      <c r="P67" s="4">
        <v>3</v>
      </c>
      <c r="Q67" s="4">
        <f t="shared" si="9"/>
        <v>378</v>
      </c>
      <c r="R67" s="4" t="s">
        <v>80</v>
      </c>
      <c r="S67" s="4" t="s">
        <v>600</v>
      </c>
      <c r="T67" s="4" t="s">
        <v>181</v>
      </c>
      <c r="U67" s="14">
        <v>0</v>
      </c>
      <c r="V67" s="4" t="s">
        <v>124</v>
      </c>
      <c r="W67" s="4">
        <v>2</v>
      </c>
      <c r="X67" s="4" t="s">
        <v>54</v>
      </c>
      <c r="Y67" s="4" t="s">
        <v>47</v>
      </c>
      <c r="Z67" s="4" t="s">
        <v>48</v>
      </c>
      <c r="AA67" s="4">
        <v>6000</v>
      </c>
      <c r="AB67" s="4" t="s">
        <v>62</v>
      </c>
      <c r="AC67" s="4" t="s">
        <v>50</v>
      </c>
      <c r="AD67" s="4" t="s">
        <v>51</v>
      </c>
      <c r="AE67" s="4" t="s">
        <v>52</v>
      </c>
      <c r="AF67" s="4" t="s">
        <v>46</v>
      </c>
      <c r="AG67" s="5" t="s">
        <v>53</v>
      </c>
      <c r="AH67" s="4" t="s">
        <v>54</v>
      </c>
      <c r="AI67" s="4" t="str">
        <f t="shared" si="12"/>
        <v>S19j Pro (92T)</v>
      </c>
      <c r="AJ67" s="4" t="str">
        <f t="shared" si="13"/>
        <v>S19j Pro (Vnish)</v>
      </c>
      <c r="AK67" s="4">
        <v>0</v>
      </c>
      <c r="AL67" s="4">
        <v>1</v>
      </c>
    </row>
    <row r="68" spans="1:38" x14ac:dyDescent="0.25">
      <c r="A68" s="4" t="s">
        <v>273</v>
      </c>
      <c r="B68" s="4">
        <v>88</v>
      </c>
      <c r="C68" s="4" t="s">
        <v>191</v>
      </c>
      <c r="D68" s="4" t="str">
        <f t="shared" si="10"/>
        <v>DX</v>
      </c>
      <c r="E68" s="4" t="s">
        <v>178</v>
      </c>
      <c r="F68" s="4" t="s">
        <v>267</v>
      </c>
      <c r="G68" s="4" t="s">
        <v>229</v>
      </c>
      <c r="H68" s="4">
        <v>2022</v>
      </c>
      <c r="I68" s="4">
        <v>29.5</v>
      </c>
      <c r="J68" s="11">
        <f t="shared" si="11"/>
        <v>2596</v>
      </c>
      <c r="K68" s="11" t="s">
        <v>39</v>
      </c>
      <c r="L68" s="4" t="s">
        <v>268</v>
      </c>
      <c r="M68" s="4" t="s">
        <v>269</v>
      </c>
      <c r="N68" s="4" t="s">
        <v>79</v>
      </c>
      <c r="O68" s="4">
        <v>126</v>
      </c>
      <c r="P68" s="4">
        <v>3</v>
      </c>
      <c r="Q68" s="4">
        <f t="shared" si="9"/>
        <v>378</v>
      </c>
      <c r="R68" s="4" t="s">
        <v>80</v>
      </c>
      <c r="S68" s="4" t="s">
        <v>600</v>
      </c>
      <c r="T68" s="4" t="s">
        <v>181</v>
      </c>
      <c r="U68" s="14">
        <v>0</v>
      </c>
      <c r="V68" s="4" t="s">
        <v>124</v>
      </c>
      <c r="W68" s="4">
        <v>2</v>
      </c>
      <c r="X68" s="4" t="s">
        <v>54</v>
      </c>
      <c r="Y68" s="4" t="s">
        <v>47</v>
      </c>
      <c r="Z68" s="4" t="s">
        <v>48</v>
      </c>
      <c r="AA68" s="4">
        <v>6000</v>
      </c>
      <c r="AB68" s="4" t="s">
        <v>62</v>
      </c>
      <c r="AC68" s="4" t="s">
        <v>50</v>
      </c>
      <c r="AD68" s="4" t="s">
        <v>51</v>
      </c>
      <c r="AE68" s="4" t="s">
        <v>52</v>
      </c>
      <c r="AF68" s="4" t="s">
        <v>46</v>
      </c>
      <c r="AG68" s="5" t="s">
        <v>53</v>
      </c>
      <c r="AH68" s="4" t="s">
        <v>54</v>
      </c>
      <c r="AI68" s="4" t="str">
        <f t="shared" si="12"/>
        <v>S19j Pro (88T)</v>
      </c>
      <c r="AJ68" s="4" t="str">
        <f t="shared" si="13"/>
        <v>S19j Pro (Vnish)</v>
      </c>
      <c r="AK68" s="4">
        <v>0</v>
      </c>
      <c r="AL68" s="4">
        <v>1</v>
      </c>
    </row>
    <row r="69" spans="1:38" x14ac:dyDescent="0.25">
      <c r="A69" s="4" t="s">
        <v>274</v>
      </c>
      <c r="B69" s="4">
        <v>84</v>
      </c>
      <c r="C69" s="4" t="s">
        <v>193</v>
      </c>
      <c r="D69" s="4" t="str">
        <f t="shared" si="10"/>
        <v>DX</v>
      </c>
      <c r="E69" s="4" t="s">
        <v>178</v>
      </c>
      <c r="F69" s="4" t="s">
        <v>267</v>
      </c>
      <c r="G69" s="4" t="s">
        <v>229</v>
      </c>
      <c r="H69" s="4">
        <v>2022</v>
      </c>
      <c r="I69" s="4">
        <v>29.5</v>
      </c>
      <c r="J69" s="11">
        <f t="shared" si="11"/>
        <v>2478</v>
      </c>
      <c r="K69" s="11" t="s">
        <v>39</v>
      </c>
      <c r="L69" s="4" t="s">
        <v>268</v>
      </c>
      <c r="M69" s="4" t="s">
        <v>269</v>
      </c>
      <c r="N69" s="4" t="s">
        <v>79</v>
      </c>
      <c r="O69" s="4">
        <v>126</v>
      </c>
      <c r="P69" s="4">
        <v>3</v>
      </c>
      <c r="Q69" s="4">
        <f t="shared" si="9"/>
        <v>378</v>
      </c>
      <c r="R69" s="4" t="s">
        <v>80</v>
      </c>
      <c r="S69" s="4" t="s">
        <v>600</v>
      </c>
      <c r="T69" s="4" t="s">
        <v>181</v>
      </c>
      <c r="U69" s="14">
        <v>0</v>
      </c>
      <c r="V69" s="4" t="s">
        <v>124</v>
      </c>
      <c r="W69" s="4">
        <v>2</v>
      </c>
      <c r="X69" s="4" t="s">
        <v>54</v>
      </c>
      <c r="Y69" s="4" t="s">
        <v>47</v>
      </c>
      <c r="Z69" s="4" t="s">
        <v>48</v>
      </c>
      <c r="AA69" s="4">
        <v>6000</v>
      </c>
      <c r="AB69" s="4" t="s">
        <v>62</v>
      </c>
      <c r="AC69" s="4" t="s">
        <v>50</v>
      </c>
      <c r="AD69" s="4" t="s">
        <v>51</v>
      </c>
      <c r="AE69" s="4" t="s">
        <v>52</v>
      </c>
      <c r="AF69" s="4" t="s">
        <v>46</v>
      </c>
      <c r="AG69" s="5" t="s">
        <v>53</v>
      </c>
      <c r="AH69" s="4" t="s">
        <v>54</v>
      </c>
      <c r="AI69" s="4" t="str">
        <f t="shared" si="12"/>
        <v>S19j Pro (84T)</v>
      </c>
      <c r="AJ69" s="4" t="str">
        <f t="shared" si="13"/>
        <v>S19j Pro (Vnish)</v>
      </c>
      <c r="AK69" s="4">
        <v>0</v>
      </c>
      <c r="AL69" s="4">
        <v>0</v>
      </c>
    </row>
    <row r="70" spans="1:38" x14ac:dyDescent="0.25">
      <c r="A70" s="4" t="s">
        <v>262</v>
      </c>
      <c r="B70" s="4">
        <v>100</v>
      </c>
      <c r="C70" s="4" t="s">
        <v>183</v>
      </c>
      <c r="D70" s="4" t="str">
        <f t="shared" si="10"/>
        <v>E3</v>
      </c>
      <c r="E70" s="4" t="s">
        <v>178</v>
      </c>
      <c r="F70" s="4" t="s">
        <v>263</v>
      </c>
      <c r="G70" s="4" t="s">
        <v>160</v>
      </c>
      <c r="H70" s="4">
        <v>2021</v>
      </c>
      <c r="I70" s="4">
        <v>29.5</v>
      </c>
      <c r="J70" s="11">
        <f t="shared" si="11"/>
        <v>2950</v>
      </c>
      <c r="K70" s="11" t="s">
        <v>39</v>
      </c>
      <c r="L70" s="4" t="s">
        <v>264</v>
      </c>
      <c r="N70" s="4" t="s">
        <v>79</v>
      </c>
      <c r="O70" s="4">
        <v>126</v>
      </c>
      <c r="P70" s="4">
        <v>3</v>
      </c>
      <c r="Q70" s="4">
        <f t="shared" si="9"/>
        <v>378</v>
      </c>
      <c r="R70" s="4" t="s">
        <v>43</v>
      </c>
      <c r="S70" s="4" t="s">
        <v>601</v>
      </c>
      <c r="T70" s="4" t="s">
        <v>181</v>
      </c>
      <c r="U70" s="14">
        <v>0</v>
      </c>
      <c r="V70" s="4" t="s">
        <v>45</v>
      </c>
      <c r="W70" s="4">
        <v>4</v>
      </c>
      <c r="X70" s="4" t="s">
        <v>46</v>
      </c>
      <c r="Y70" s="4" t="s">
        <v>47</v>
      </c>
      <c r="Z70" s="4" t="s">
        <v>48</v>
      </c>
      <c r="AA70" s="4">
        <v>6000</v>
      </c>
      <c r="AB70" s="4" t="s">
        <v>62</v>
      </c>
      <c r="AC70" s="4" t="s">
        <v>50</v>
      </c>
      <c r="AD70" s="4" t="s">
        <v>51</v>
      </c>
      <c r="AE70" s="4" t="s">
        <v>52</v>
      </c>
      <c r="AF70" s="4" t="s">
        <v>46</v>
      </c>
      <c r="AG70" s="5" t="s">
        <v>53</v>
      </c>
      <c r="AH70" s="4" t="s">
        <v>54</v>
      </c>
      <c r="AI70" s="4" t="str">
        <f t="shared" si="12"/>
        <v>S19j Pro (100T)</v>
      </c>
      <c r="AJ70" s="4" t="str">
        <f t="shared" si="13"/>
        <v>S19j Pro (Vnish)</v>
      </c>
      <c r="AK70" s="4">
        <v>0</v>
      </c>
      <c r="AL70" s="4">
        <v>1</v>
      </c>
    </row>
    <row r="71" spans="1:38" x14ac:dyDescent="0.25">
      <c r="A71" s="4" t="s">
        <v>276</v>
      </c>
      <c r="B71" s="4">
        <v>104</v>
      </c>
      <c r="C71" s="4" t="s">
        <v>187</v>
      </c>
      <c r="D71" s="4" t="str">
        <f t="shared" si="10"/>
        <v>E3</v>
      </c>
      <c r="E71" s="4" t="s">
        <v>178</v>
      </c>
      <c r="F71" s="4" t="s">
        <v>263</v>
      </c>
      <c r="G71" s="4" t="s">
        <v>160</v>
      </c>
      <c r="H71" s="4">
        <v>2021</v>
      </c>
      <c r="I71" s="4">
        <v>29.5</v>
      </c>
      <c r="J71" s="11">
        <f t="shared" si="11"/>
        <v>3068</v>
      </c>
      <c r="K71" s="11" t="s">
        <v>39</v>
      </c>
      <c r="L71" s="4" t="s">
        <v>264</v>
      </c>
      <c r="N71" s="4" t="s">
        <v>79</v>
      </c>
      <c r="O71" s="4">
        <v>126</v>
      </c>
      <c r="P71" s="4">
        <v>3</v>
      </c>
      <c r="Q71" s="4">
        <f t="shared" si="9"/>
        <v>378</v>
      </c>
      <c r="R71" s="4" t="s">
        <v>43</v>
      </c>
      <c r="S71" s="4" t="s">
        <v>601</v>
      </c>
      <c r="T71" s="4" t="s">
        <v>181</v>
      </c>
      <c r="U71" s="14">
        <v>0</v>
      </c>
      <c r="V71" s="4" t="s">
        <v>45</v>
      </c>
      <c r="W71" s="4">
        <v>4</v>
      </c>
      <c r="X71" s="4" t="s">
        <v>46</v>
      </c>
      <c r="Y71" s="4" t="s">
        <v>47</v>
      </c>
      <c r="Z71" s="4" t="s">
        <v>48</v>
      </c>
      <c r="AA71" s="4">
        <v>6000</v>
      </c>
      <c r="AB71" s="4" t="s">
        <v>62</v>
      </c>
      <c r="AC71" s="4" t="s">
        <v>50</v>
      </c>
      <c r="AD71" s="4" t="s">
        <v>51</v>
      </c>
      <c r="AE71" s="4" t="s">
        <v>52</v>
      </c>
      <c r="AF71" s="4" t="s">
        <v>46</v>
      </c>
      <c r="AG71" s="5" t="s">
        <v>53</v>
      </c>
      <c r="AH71" s="4" t="s">
        <v>54</v>
      </c>
      <c r="AI71" s="4" t="str">
        <f t="shared" si="12"/>
        <v>S19j Pro (104T)</v>
      </c>
      <c r="AJ71" s="4" t="str">
        <f t="shared" si="13"/>
        <v>S19j Pro (Vnish)</v>
      </c>
      <c r="AK71" s="4">
        <v>0</v>
      </c>
      <c r="AL71" s="4">
        <v>1</v>
      </c>
    </row>
    <row r="72" spans="1:38" x14ac:dyDescent="0.25">
      <c r="A72" s="4" t="s">
        <v>277</v>
      </c>
      <c r="B72" s="4">
        <v>90</v>
      </c>
      <c r="C72" s="4" t="s">
        <v>64</v>
      </c>
      <c r="D72" s="4" t="str">
        <f t="shared" si="10"/>
        <v>E5</v>
      </c>
      <c r="E72" s="4" t="s">
        <v>59</v>
      </c>
      <c r="F72" s="4" t="s">
        <v>278</v>
      </c>
      <c r="G72" s="4" t="s">
        <v>229</v>
      </c>
      <c r="H72" s="4">
        <v>2022</v>
      </c>
      <c r="I72" s="4">
        <v>34.5</v>
      </c>
      <c r="J72" s="11">
        <f t="shared" si="11"/>
        <v>3105</v>
      </c>
      <c r="K72" s="11" t="s">
        <v>39</v>
      </c>
      <c r="L72" s="4" t="s">
        <v>279</v>
      </c>
      <c r="N72" s="4" t="s">
        <v>79</v>
      </c>
      <c r="O72" s="4">
        <v>88</v>
      </c>
      <c r="P72" s="4">
        <v>3</v>
      </c>
      <c r="Q72" s="4">
        <f t="shared" si="9"/>
        <v>264</v>
      </c>
      <c r="R72" s="4" t="s">
        <v>280</v>
      </c>
      <c r="S72" s="4" t="s">
        <v>115</v>
      </c>
      <c r="T72" s="4" t="s">
        <v>81</v>
      </c>
      <c r="U72" s="16">
        <v>1E-3</v>
      </c>
      <c r="V72" s="4" t="s">
        <v>124</v>
      </c>
      <c r="W72" s="4">
        <v>2</v>
      </c>
      <c r="X72" s="4" t="s">
        <v>54</v>
      </c>
      <c r="Y72" s="4" t="s">
        <v>47</v>
      </c>
      <c r="Z72" s="4" t="s">
        <v>48</v>
      </c>
      <c r="AA72" s="4">
        <v>6000</v>
      </c>
      <c r="AB72" s="4" t="s">
        <v>171</v>
      </c>
      <c r="AC72" s="4" t="s">
        <v>50</v>
      </c>
      <c r="AD72" s="4" t="s">
        <v>51</v>
      </c>
      <c r="AE72" s="4" t="s">
        <v>52</v>
      </c>
      <c r="AF72" s="4" t="s">
        <v>46</v>
      </c>
      <c r="AG72" s="5" t="s">
        <v>53</v>
      </c>
      <c r="AH72" s="4" t="s">
        <v>54</v>
      </c>
      <c r="AI72" s="4" t="str">
        <f t="shared" si="12"/>
        <v>S19 (90T)</v>
      </c>
      <c r="AJ72" s="4" t="str">
        <f t="shared" si="13"/>
        <v>S19 (Vnish)</v>
      </c>
      <c r="AK72" s="4">
        <v>0</v>
      </c>
      <c r="AL72" s="4">
        <v>0</v>
      </c>
    </row>
    <row r="73" spans="1:38" x14ac:dyDescent="0.25">
      <c r="A73" s="4" t="s">
        <v>281</v>
      </c>
      <c r="B73" s="4">
        <v>86</v>
      </c>
      <c r="C73" s="4" t="s">
        <v>173</v>
      </c>
      <c r="D73" s="4" t="str">
        <f t="shared" si="10"/>
        <v>E5</v>
      </c>
      <c r="E73" s="4" t="s">
        <v>59</v>
      </c>
      <c r="F73" s="4" t="s">
        <v>278</v>
      </c>
      <c r="G73" s="4" t="s">
        <v>229</v>
      </c>
      <c r="H73" s="4">
        <v>2022</v>
      </c>
      <c r="I73" s="4">
        <v>34.5</v>
      </c>
      <c r="J73" s="11">
        <f t="shared" si="11"/>
        <v>2967</v>
      </c>
      <c r="K73" s="11" t="s">
        <v>39</v>
      </c>
      <c r="L73" s="4" t="s">
        <v>279</v>
      </c>
      <c r="N73" s="4" t="s">
        <v>79</v>
      </c>
      <c r="O73" s="4">
        <v>88</v>
      </c>
      <c r="P73" s="4">
        <v>3</v>
      </c>
      <c r="Q73" s="4">
        <f t="shared" si="9"/>
        <v>264</v>
      </c>
      <c r="R73" s="4" t="s">
        <v>280</v>
      </c>
      <c r="S73" s="4" t="s">
        <v>115</v>
      </c>
      <c r="T73" s="4" t="s">
        <v>81</v>
      </c>
      <c r="U73" s="16">
        <v>1E-3</v>
      </c>
      <c r="V73" s="4" t="s">
        <v>124</v>
      </c>
      <c r="W73" s="4">
        <v>2</v>
      </c>
      <c r="X73" s="4" t="s">
        <v>54</v>
      </c>
      <c r="Y73" s="4" t="s">
        <v>47</v>
      </c>
      <c r="Z73" s="4" t="s">
        <v>48</v>
      </c>
      <c r="AA73" s="4">
        <v>6000</v>
      </c>
      <c r="AB73" s="4" t="s">
        <v>171</v>
      </c>
      <c r="AC73" s="4" t="s">
        <v>50</v>
      </c>
      <c r="AD73" s="4" t="s">
        <v>51</v>
      </c>
      <c r="AE73" s="4" t="s">
        <v>52</v>
      </c>
      <c r="AF73" s="4" t="s">
        <v>46</v>
      </c>
      <c r="AG73" s="5" t="s">
        <v>53</v>
      </c>
      <c r="AH73" s="4" t="s">
        <v>54</v>
      </c>
      <c r="AI73" s="4" t="str">
        <f t="shared" si="12"/>
        <v>S19 (86T)</v>
      </c>
      <c r="AJ73" s="4" t="str">
        <f t="shared" si="13"/>
        <v>S19 (Vnish)</v>
      </c>
      <c r="AK73" s="4">
        <v>0</v>
      </c>
      <c r="AL73" s="4">
        <v>0</v>
      </c>
    </row>
    <row r="74" spans="1:38" x14ac:dyDescent="0.25">
      <c r="A74" s="4" t="s">
        <v>282</v>
      </c>
      <c r="B74" s="4">
        <v>82</v>
      </c>
      <c r="C74" s="4" t="s">
        <v>175</v>
      </c>
      <c r="D74" s="4" t="str">
        <f t="shared" si="10"/>
        <v>E5</v>
      </c>
      <c r="E74" s="4" t="s">
        <v>59</v>
      </c>
      <c r="F74" s="4" t="s">
        <v>278</v>
      </c>
      <c r="G74" s="4" t="s">
        <v>229</v>
      </c>
      <c r="H74" s="4">
        <v>2022</v>
      </c>
      <c r="I74" s="4">
        <v>34.5</v>
      </c>
      <c r="J74" s="11">
        <f t="shared" si="11"/>
        <v>2829</v>
      </c>
      <c r="K74" s="11" t="s">
        <v>39</v>
      </c>
      <c r="L74" s="4" t="s">
        <v>279</v>
      </c>
      <c r="N74" s="4" t="s">
        <v>79</v>
      </c>
      <c r="O74" s="4">
        <v>88</v>
      </c>
      <c r="P74" s="4">
        <v>3</v>
      </c>
      <c r="Q74" s="4">
        <f t="shared" si="9"/>
        <v>264</v>
      </c>
      <c r="R74" s="4" t="s">
        <v>280</v>
      </c>
      <c r="S74" s="4" t="s">
        <v>115</v>
      </c>
      <c r="T74" s="4" t="s">
        <v>81</v>
      </c>
      <c r="U74" s="16">
        <v>1E-3</v>
      </c>
      <c r="V74" s="4" t="s">
        <v>124</v>
      </c>
      <c r="W74" s="4">
        <v>2</v>
      </c>
      <c r="X74" s="4" t="s">
        <v>54</v>
      </c>
      <c r="Y74" s="4" t="s">
        <v>47</v>
      </c>
      <c r="Z74" s="4" t="s">
        <v>48</v>
      </c>
      <c r="AA74" s="4">
        <v>6000</v>
      </c>
      <c r="AB74" s="4" t="s">
        <v>171</v>
      </c>
      <c r="AC74" s="4" t="s">
        <v>50</v>
      </c>
      <c r="AD74" s="4" t="s">
        <v>51</v>
      </c>
      <c r="AE74" s="4" t="s">
        <v>52</v>
      </c>
      <c r="AF74" s="4" t="s">
        <v>46</v>
      </c>
      <c r="AG74" s="5" t="s">
        <v>53</v>
      </c>
      <c r="AH74" s="4" t="s">
        <v>54</v>
      </c>
      <c r="AI74" s="4" t="str">
        <f t="shared" si="12"/>
        <v>S19 (82T)</v>
      </c>
      <c r="AJ74" s="4" t="str">
        <f t="shared" si="13"/>
        <v>S19 (Vnish)</v>
      </c>
      <c r="AK74" s="4">
        <v>0</v>
      </c>
      <c r="AL74" s="4">
        <v>0</v>
      </c>
    </row>
    <row r="75" spans="1:38" x14ac:dyDescent="0.25">
      <c r="A75" s="4" t="s">
        <v>283</v>
      </c>
      <c r="B75" s="4">
        <v>141</v>
      </c>
      <c r="C75" s="4" t="s">
        <v>141</v>
      </c>
      <c r="D75" s="4" t="str">
        <f t="shared" si="10"/>
        <v>EA</v>
      </c>
      <c r="E75" s="4" t="s">
        <v>142</v>
      </c>
      <c r="F75" s="4" t="s">
        <v>284</v>
      </c>
      <c r="G75" s="4" t="s">
        <v>285</v>
      </c>
      <c r="H75" s="4" t="s">
        <v>286</v>
      </c>
      <c r="I75" s="4">
        <v>21.5</v>
      </c>
      <c r="J75" s="11">
        <f t="shared" si="11"/>
        <v>3031.5</v>
      </c>
      <c r="K75" s="11" t="s">
        <v>39</v>
      </c>
      <c r="L75" s="4" t="s">
        <v>287</v>
      </c>
      <c r="M75" s="4" t="s">
        <v>288</v>
      </c>
      <c r="N75" s="4" t="s">
        <v>93</v>
      </c>
      <c r="O75" s="4">
        <v>110</v>
      </c>
      <c r="P75" s="4">
        <v>3</v>
      </c>
      <c r="Q75" s="4">
        <f t="shared" si="9"/>
        <v>330</v>
      </c>
      <c r="R75" s="4" t="s">
        <v>80</v>
      </c>
      <c r="S75" s="4" t="s">
        <v>600</v>
      </c>
      <c r="T75" s="4" t="s">
        <v>94</v>
      </c>
      <c r="U75" s="14">
        <v>0.5</v>
      </c>
      <c r="V75" s="4" t="s">
        <v>124</v>
      </c>
      <c r="W75" s="4">
        <v>2</v>
      </c>
      <c r="X75" s="4" t="s">
        <v>54</v>
      </c>
      <c r="Y75" s="4" t="s">
        <v>47</v>
      </c>
      <c r="Z75" s="4" t="s">
        <v>48</v>
      </c>
      <c r="AA75" s="4">
        <v>6000</v>
      </c>
      <c r="AB75" s="4" t="s">
        <v>62</v>
      </c>
      <c r="AC75" s="4" t="s">
        <v>50</v>
      </c>
      <c r="AD75" s="4" t="s">
        <v>51</v>
      </c>
      <c r="AE75" s="4" t="s">
        <v>52</v>
      </c>
      <c r="AF75" s="4" t="s">
        <v>46</v>
      </c>
      <c r="AG75" s="5" t="s">
        <v>146</v>
      </c>
      <c r="AH75" s="4" t="s">
        <v>54</v>
      </c>
      <c r="AI75" s="4" t="str">
        <f t="shared" si="12"/>
        <v>S19 XP (141T)</v>
      </c>
      <c r="AJ75" s="4" t="str">
        <f t="shared" si="13"/>
        <v>S19 XP (Vnish)</v>
      </c>
      <c r="AK75" s="4">
        <v>1</v>
      </c>
      <c r="AL75" s="4">
        <v>1</v>
      </c>
    </row>
    <row r="76" spans="1:38" x14ac:dyDescent="0.25">
      <c r="A76" s="4" t="s">
        <v>289</v>
      </c>
      <c r="B76" s="4">
        <v>134</v>
      </c>
      <c r="C76" s="4" t="s">
        <v>148</v>
      </c>
      <c r="D76" s="4" t="str">
        <f t="shared" si="10"/>
        <v>EA</v>
      </c>
      <c r="E76" s="4" t="s">
        <v>142</v>
      </c>
      <c r="F76" s="4" t="s">
        <v>284</v>
      </c>
      <c r="G76" s="4" t="s">
        <v>285</v>
      </c>
      <c r="H76" s="4" t="s">
        <v>286</v>
      </c>
      <c r="I76" s="4">
        <v>21.5</v>
      </c>
      <c r="J76" s="11">
        <f t="shared" si="11"/>
        <v>2881</v>
      </c>
      <c r="K76" s="11" t="s">
        <v>39</v>
      </c>
      <c r="L76" s="4" t="s">
        <v>287</v>
      </c>
      <c r="M76" s="4" t="s">
        <v>288</v>
      </c>
      <c r="N76" s="4" t="s">
        <v>93</v>
      </c>
      <c r="O76" s="4">
        <v>110</v>
      </c>
      <c r="P76" s="4">
        <v>3</v>
      </c>
      <c r="Q76" s="4">
        <f t="shared" si="9"/>
        <v>330</v>
      </c>
      <c r="R76" s="4" t="s">
        <v>80</v>
      </c>
      <c r="S76" s="4" t="s">
        <v>600</v>
      </c>
      <c r="T76" s="4" t="s">
        <v>94</v>
      </c>
      <c r="U76" s="14">
        <v>0.5</v>
      </c>
      <c r="V76" s="4" t="s">
        <v>124</v>
      </c>
      <c r="W76" s="4">
        <v>2</v>
      </c>
      <c r="X76" s="4" t="s">
        <v>54</v>
      </c>
      <c r="Y76" s="4" t="s">
        <v>47</v>
      </c>
      <c r="Z76" s="4" t="s">
        <v>48</v>
      </c>
      <c r="AA76" s="4">
        <v>6000</v>
      </c>
      <c r="AB76" s="4" t="s">
        <v>62</v>
      </c>
      <c r="AC76" s="4" t="s">
        <v>50</v>
      </c>
      <c r="AD76" s="4" t="s">
        <v>51</v>
      </c>
      <c r="AE76" s="4" t="s">
        <v>52</v>
      </c>
      <c r="AF76" s="4" t="s">
        <v>46</v>
      </c>
      <c r="AG76" s="5" t="s">
        <v>146</v>
      </c>
      <c r="AH76" s="4" t="s">
        <v>54</v>
      </c>
      <c r="AI76" s="4" t="str">
        <f t="shared" si="12"/>
        <v>S19 XP (134T)</v>
      </c>
      <c r="AJ76" s="4" t="str">
        <f t="shared" si="13"/>
        <v>S19 XP (Vnish)</v>
      </c>
      <c r="AK76" s="4">
        <v>0</v>
      </c>
      <c r="AL76" s="4">
        <v>1</v>
      </c>
    </row>
    <row r="77" spans="1:38" x14ac:dyDescent="0.25">
      <c r="A77" s="4" t="s">
        <v>290</v>
      </c>
      <c r="B77" s="4">
        <v>127</v>
      </c>
      <c r="C77" s="4" t="s">
        <v>150</v>
      </c>
      <c r="D77" s="4" t="str">
        <f t="shared" si="10"/>
        <v>EA</v>
      </c>
      <c r="E77" s="4" t="s">
        <v>142</v>
      </c>
      <c r="F77" s="4" t="s">
        <v>284</v>
      </c>
      <c r="G77" s="4" t="s">
        <v>285</v>
      </c>
      <c r="H77" s="4" t="s">
        <v>286</v>
      </c>
      <c r="I77" s="4">
        <v>21.5</v>
      </c>
      <c r="J77" s="11">
        <f t="shared" si="11"/>
        <v>2730.5</v>
      </c>
      <c r="K77" s="11" t="s">
        <v>39</v>
      </c>
      <c r="L77" s="4" t="s">
        <v>287</v>
      </c>
      <c r="M77" s="4" t="s">
        <v>288</v>
      </c>
      <c r="N77" s="4" t="s">
        <v>93</v>
      </c>
      <c r="O77" s="4">
        <v>110</v>
      </c>
      <c r="P77" s="4">
        <v>3</v>
      </c>
      <c r="Q77" s="4">
        <f t="shared" si="9"/>
        <v>330</v>
      </c>
      <c r="R77" s="4" t="s">
        <v>80</v>
      </c>
      <c r="S77" s="4" t="s">
        <v>600</v>
      </c>
      <c r="T77" s="4" t="s">
        <v>94</v>
      </c>
      <c r="U77" s="14">
        <v>0.5</v>
      </c>
      <c r="V77" s="4" t="s">
        <v>124</v>
      </c>
      <c r="W77" s="4">
        <v>2</v>
      </c>
      <c r="X77" s="4" t="s">
        <v>54</v>
      </c>
      <c r="Y77" s="4" t="s">
        <v>47</v>
      </c>
      <c r="Z77" s="4" t="s">
        <v>48</v>
      </c>
      <c r="AA77" s="4">
        <v>6000</v>
      </c>
      <c r="AB77" s="4" t="s">
        <v>62</v>
      </c>
      <c r="AC77" s="4" t="s">
        <v>50</v>
      </c>
      <c r="AD77" s="4" t="s">
        <v>51</v>
      </c>
      <c r="AE77" s="4" t="s">
        <v>52</v>
      </c>
      <c r="AF77" s="4" t="s">
        <v>46</v>
      </c>
      <c r="AG77" s="5" t="s">
        <v>146</v>
      </c>
      <c r="AH77" s="4" t="s">
        <v>54</v>
      </c>
      <c r="AI77" s="4" t="str">
        <f t="shared" si="12"/>
        <v>S19 XP (127T)</v>
      </c>
      <c r="AJ77" s="4" t="str">
        <f t="shared" si="13"/>
        <v>S19 XP (Vnish)</v>
      </c>
      <c r="AK77" s="4">
        <v>0</v>
      </c>
      <c r="AL77" s="4">
        <v>1</v>
      </c>
    </row>
    <row r="78" spans="1:38" x14ac:dyDescent="0.25">
      <c r="A78" s="4" t="s">
        <v>291</v>
      </c>
      <c r="B78" s="4">
        <v>169.5</v>
      </c>
      <c r="C78" s="4" t="s">
        <v>292</v>
      </c>
      <c r="D78" s="4" t="s">
        <v>293</v>
      </c>
      <c r="E78" s="4" t="s">
        <v>294</v>
      </c>
      <c r="F78" s="4" t="s">
        <v>295</v>
      </c>
      <c r="G78" s="4" t="s">
        <v>229</v>
      </c>
      <c r="H78" s="4">
        <v>2022</v>
      </c>
      <c r="I78" s="4">
        <v>29.5</v>
      </c>
      <c r="J78" s="4">
        <v>5000</v>
      </c>
      <c r="K78" s="4" t="s">
        <v>107</v>
      </c>
      <c r="L78" s="4" t="s">
        <v>296</v>
      </c>
      <c r="N78" s="4" t="s">
        <v>79</v>
      </c>
      <c r="P78" s="4">
        <v>4</v>
      </c>
      <c r="R78" s="4" t="s">
        <v>603</v>
      </c>
      <c r="S78" s="4" t="s">
        <v>115</v>
      </c>
      <c r="T78" s="4" t="s">
        <v>110</v>
      </c>
      <c r="U78" s="14">
        <v>0</v>
      </c>
      <c r="V78" s="4" t="s">
        <v>45</v>
      </c>
      <c r="W78" s="4">
        <v>2</v>
      </c>
      <c r="X78" s="4" t="s">
        <v>46</v>
      </c>
      <c r="Y78" s="4" t="s">
        <v>111</v>
      </c>
      <c r="Z78" s="4" t="s">
        <v>96</v>
      </c>
      <c r="AA78" s="4" t="s">
        <v>96</v>
      </c>
      <c r="AB78" s="4" t="s">
        <v>112</v>
      </c>
      <c r="AC78" s="4" t="s">
        <v>112</v>
      </c>
      <c r="AD78" s="4" t="s">
        <v>113</v>
      </c>
      <c r="AE78" s="4" t="s">
        <v>114</v>
      </c>
      <c r="AF78" s="4" t="s">
        <v>54</v>
      </c>
      <c r="AG78" s="5" t="s">
        <v>96</v>
      </c>
      <c r="AH78" s="4" t="s">
        <v>115</v>
      </c>
      <c r="AK78" s="4">
        <v>0</v>
      </c>
      <c r="AL78" s="4">
        <v>0</v>
      </c>
    </row>
    <row r="79" spans="1:38" x14ac:dyDescent="0.25">
      <c r="A79" s="4" t="s">
        <v>291</v>
      </c>
      <c r="B79" s="4">
        <v>184</v>
      </c>
      <c r="C79" s="4" t="s">
        <v>297</v>
      </c>
      <c r="D79" s="4" t="s">
        <v>293</v>
      </c>
      <c r="E79" s="4" t="s">
        <v>294</v>
      </c>
      <c r="F79" s="4" t="s">
        <v>295</v>
      </c>
      <c r="G79" s="4" t="s">
        <v>229</v>
      </c>
      <c r="H79" s="4">
        <v>2022</v>
      </c>
      <c r="I79" s="4">
        <v>29.5</v>
      </c>
      <c r="J79" s="4">
        <v>5428</v>
      </c>
      <c r="K79" s="4" t="s">
        <v>107</v>
      </c>
      <c r="L79" s="4" t="s">
        <v>296</v>
      </c>
      <c r="N79" s="4" t="s">
        <v>79</v>
      </c>
      <c r="P79" s="4">
        <v>4</v>
      </c>
      <c r="R79" s="4" t="s">
        <v>603</v>
      </c>
      <c r="S79" s="4" t="s">
        <v>115</v>
      </c>
      <c r="T79" s="4" t="s">
        <v>110</v>
      </c>
      <c r="U79" s="14">
        <v>0</v>
      </c>
      <c r="V79" s="4" t="s">
        <v>45</v>
      </c>
      <c r="W79" s="4">
        <v>2</v>
      </c>
      <c r="X79" s="4" t="s">
        <v>46</v>
      </c>
      <c r="Y79" s="4" t="s">
        <v>111</v>
      </c>
      <c r="Z79" s="4" t="s">
        <v>96</v>
      </c>
      <c r="AA79" s="4" t="s">
        <v>96</v>
      </c>
      <c r="AB79" s="4" t="s">
        <v>112</v>
      </c>
      <c r="AC79" s="4" t="s">
        <v>112</v>
      </c>
      <c r="AD79" s="4" t="s">
        <v>113</v>
      </c>
      <c r="AE79" s="4" t="s">
        <v>114</v>
      </c>
      <c r="AF79" s="4" t="s">
        <v>54</v>
      </c>
      <c r="AG79" s="5" t="s">
        <v>96</v>
      </c>
      <c r="AH79" s="4" t="s">
        <v>115</v>
      </c>
      <c r="AK79" s="4">
        <v>1</v>
      </c>
      <c r="AL79" s="4">
        <v>0</v>
      </c>
    </row>
    <row r="80" spans="1:38" x14ac:dyDescent="0.25">
      <c r="A80" s="4" t="s">
        <v>298</v>
      </c>
      <c r="B80" s="4">
        <v>163</v>
      </c>
      <c r="C80" s="4" t="s">
        <v>299</v>
      </c>
      <c r="D80" s="4" t="s">
        <v>293</v>
      </c>
      <c r="E80" s="4" t="s">
        <v>294</v>
      </c>
      <c r="F80" s="4" t="s">
        <v>295</v>
      </c>
      <c r="G80" s="4" t="s">
        <v>229</v>
      </c>
      <c r="H80" s="4">
        <v>2022</v>
      </c>
      <c r="I80" s="4">
        <v>29.5</v>
      </c>
      <c r="J80" s="4">
        <v>4809</v>
      </c>
      <c r="K80" s="4" t="s">
        <v>107</v>
      </c>
      <c r="L80" s="4" t="s">
        <v>296</v>
      </c>
      <c r="N80" s="4" t="s">
        <v>79</v>
      </c>
      <c r="P80" s="4">
        <v>4</v>
      </c>
      <c r="R80" s="4" t="s">
        <v>603</v>
      </c>
      <c r="S80" s="4" t="s">
        <v>115</v>
      </c>
      <c r="T80" s="4" t="s">
        <v>110</v>
      </c>
      <c r="U80" s="14">
        <v>0</v>
      </c>
      <c r="V80" s="4" t="s">
        <v>45</v>
      </c>
      <c r="W80" s="4">
        <v>2</v>
      </c>
      <c r="X80" s="4" t="s">
        <v>46</v>
      </c>
      <c r="Y80" s="4" t="s">
        <v>111</v>
      </c>
      <c r="Z80" s="4" t="s">
        <v>96</v>
      </c>
      <c r="AA80" s="4" t="s">
        <v>96</v>
      </c>
      <c r="AB80" s="4" t="s">
        <v>112</v>
      </c>
      <c r="AC80" s="4" t="s">
        <v>112</v>
      </c>
      <c r="AD80" s="4" t="s">
        <v>113</v>
      </c>
      <c r="AE80" s="4" t="s">
        <v>114</v>
      </c>
      <c r="AF80" s="4" t="s">
        <v>54</v>
      </c>
      <c r="AG80" s="5" t="s">
        <v>96</v>
      </c>
      <c r="AH80" s="4" t="s">
        <v>115</v>
      </c>
      <c r="AK80" s="4">
        <v>0</v>
      </c>
      <c r="AL80" s="4">
        <v>0</v>
      </c>
    </row>
    <row r="81" spans="1:38" x14ac:dyDescent="0.25">
      <c r="A81" s="4" t="s">
        <v>298</v>
      </c>
      <c r="B81" s="4">
        <v>177</v>
      </c>
      <c r="C81" s="4" t="s">
        <v>300</v>
      </c>
      <c r="D81" s="4" t="s">
        <v>293</v>
      </c>
      <c r="E81" s="4" t="s">
        <v>294</v>
      </c>
      <c r="F81" s="4" t="s">
        <v>295</v>
      </c>
      <c r="G81" s="4" t="s">
        <v>229</v>
      </c>
      <c r="H81" s="4">
        <v>2022</v>
      </c>
      <c r="I81" s="4">
        <v>29.5</v>
      </c>
      <c r="J81" s="4">
        <v>5222</v>
      </c>
      <c r="K81" s="4" t="s">
        <v>107</v>
      </c>
      <c r="L81" s="4" t="s">
        <v>296</v>
      </c>
      <c r="N81" s="4" t="s">
        <v>79</v>
      </c>
      <c r="P81" s="4">
        <v>4</v>
      </c>
      <c r="R81" s="4" t="s">
        <v>603</v>
      </c>
      <c r="S81" s="4" t="s">
        <v>115</v>
      </c>
      <c r="T81" s="4" t="s">
        <v>110</v>
      </c>
      <c r="U81" s="14">
        <v>0</v>
      </c>
      <c r="V81" s="4" t="s">
        <v>45</v>
      </c>
      <c r="W81" s="4">
        <v>2</v>
      </c>
      <c r="X81" s="4" t="s">
        <v>46</v>
      </c>
      <c r="Y81" s="4" t="s">
        <v>111</v>
      </c>
      <c r="Z81" s="4" t="s">
        <v>96</v>
      </c>
      <c r="AA81" s="4" t="s">
        <v>96</v>
      </c>
      <c r="AB81" s="4" t="s">
        <v>112</v>
      </c>
      <c r="AC81" s="4" t="s">
        <v>112</v>
      </c>
      <c r="AD81" s="4" t="s">
        <v>113</v>
      </c>
      <c r="AE81" s="4" t="s">
        <v>114</v>
      </c>
      <c r="AF81" s="4" t="s">
        <v>54</v>
      </c>
      <c r="AG81" s="5" t="s">
        <v>96</v>
      </c>
      <c r="AH81" s="4" t="s">
        <v>115</v>
      </c>
      <c r="AK81" s="4">
        <v>0</v>
      </c>
      <c r="AL81" s="4">
        <v>0</v>
      </c>
    </row>
    <row r="82" spans="1:38" x14ac:dyDescent="0.25">
      <c r="A82" s="4" t="s">
        <v>301</v>
      </c>
      <c r="B82" s="4">
        <v>162</v>
      </c>
      <c r="C82" s="4" t="s">
        <v>302</v>
      </c>
      <c r="D82" s="4" t="s">
        <v>293</v>
      </c>
      <c r="E82" s="4" t="s">
        <v>294</v>
      </c>
      <c r="F82" s="4" t="s">
        <v>295</v>
      </c>
      <c r="G82" s="4" t="s">
        <v>229</v>
      </c>
      <c r="H82" s="4">
        <v>2022</v>
      </c>
      <c r="I82">
        <v>29.5</v>
      </c>
      <c r="J82" s="4">
        <v>4780</v>
      </c>
      <c r="K82" s="4" t="s">
        <v>107</v>
      </c>
      <c r="L82" s="4" t="s">
        <v>296</v>
      </c>
      <c r="N82" s="4" t="s">
        <v>79</v>
      </c>
      <c r="P82" s="4">
        <v>4</v>
      </c>
      <c r="R82" s="4" t="s">
        <v>603</v>
      </c>
      <c r="S82" s="4" t="s">
        <v>115</v>
      </c>
      <c r="T82" s="4" t="s">
        <v>110</v>
      </c>
      <c r="U82" s="14">
        <v>0</v>
      </c>
      <c r="V82" s="4" t="s">
        <v>45</v>
      </c>
      <c r="W82" s="4">
        <v>2</v>
      </c>
      <c r="X82" s="4" t="s">
        <v>46</v>
      </c>
      <c r="Y82" s="4" t="s">
        <v>111</v>
      </c>
      <c r="Z82" s="4" t="s">
        <v>96</v>
      </c>
      <c r="AA82" s="4" t="s">
        <v>96</v>
      </c>
      <c r="AB82" s="4" t="s">
        <v>112</v>
      </c>
      <c r="AC82" s="4" t="s">
        <v>112</v>
      </c>
      <c r="AD82" s="4" t="s">
        <v>113</v>
      </c>
      <c r="AE82" s="4" t="s">
        <v>114</v>
      </c>
      <c r="AF82" s="4" t="s">
        <v>54</v>
      </c>
      <c r="AG82" s="5" t="s">
        <v>96</v>
      </c>
      <c r="AH82" s="4" t="s">
        <v>115</v>
      </c>
      <c r="AK82" s="4">
        <v>0</v>
      </c>
      <c r="AL82" s="4">
        <v>0</v>
      </c>
    </row>
    <row r="83" spans="1:38" x14ac:dyDescent="0.25">
      <c r="A83" s="4" t="s">
        <v>301</v>
      </c>
      <c r="B83" s="4">
        <v>170</v>
      </c>
      <c r="C83" s="4" t="s">
        <v>303</v>
      </c>
      <c r="D83" s="4" t="s">
        <v>293</v>
      </c>
      <c r="E83" s="4" t="s">
        <v>294</v>
      </c>
      <c r="F83" s="4" t="s">
        <v>295</v>
      </c>
      <c r="G83" s="4" t="s">
        <v>229</v>
      </c>
      <c r="H83" s="4">
        <v>2022</v>
      </c>
      <c r="I83" s="4">
        <v>29.5</v>
      </c>
      <c r="J83" s="4">
        <v>5015</v>
      </c>
      <c r="K83" s="4" t="s">
        <v>107</v>
      </c>
      <c r="L83" s="4" t="s">
        <v>296</v>
      </c>
      <c r="N83" s="4" t="s">
        <v>79</v>
      </c>
      <c r="P83" s="4">
        <v>4</v>
      </c>
      <c r="R83" s="4" t="s">
        <v>603</v>
      </c>
      <c r="S83" s="4" t="s">
        <v>115</v>
      </c>
      <c r="T83" s="4" t="s">
        <v>110</v>
      </c>
      <c r="U83" s="14">
        <v>0</v>
      </c>
      <c r="V83" s="4" t="s">
        <v>45</v>
      </c>
      <c r="W83" s="4">
        <v>2</v>
      </c>
      <c r="X83" s="4" t="s">
        <v>46</v>
      </c>
      <c r="Y83" s="4" t="s">
        <v>111</v>
      </c>
      <c r="Z83" s="4" t="s">
        <v>96</v>
      </c>
      <c r="AA83" s="4" t="s">
        <v>96</v>
      </c>
      <c r="AB83" s="4" t="s">
        <v>112</v>
      </c>
      <c r="AC83" s="4" t="s">
        <v>112</v>
      </c>
      <c r="AD83" s="4" t="s">
        <v>113</v>
      </c>
      <c r="AE83" s="4" t="s">
        <v>114</v>
      </c>
      <c r="AF83" s="4" t="s">
        <v>54</v>
      </c>
      <c r="AG83" s="5" t="s">
        <v>96</v>
      </c>
      <c r="AH83" s="4" t="s">
        <v>115</v>
      </c>
      <c r="AK83" s="4">
        <v>0</v>
      </c>
      <c r="AL83" s="4">
        <v>0</v>
      </c>
    </row>
    <row r="84" spans="1:38" x14ac:dyDescent="0.25">
      <c r="A84" s="4" t="s">
        <v>304</v>
      </c>
      <c r="B84" s="4">
        <v>154.5</v>
      </c>
      <c r="C84" s="4" t="s">
        <v>305</v>
      </c>
      <c r="D84" s="4" t="s">
        <v>293</v>
      </c>
      <c r="E84" s="4" t="s">
        <v>294</v>
      </c>
      <c r="F84" s="4" t="s">
        <v>295</v>
      </c>
      <c r="G84" s="4" t="s">
        <v>229</v>
      </c>
      <c r="H84" s="4">
        <v>2022</v>
      </c>
      <c r="I84" s="4">
        <v>29.5</v>
      </c>
      <c r="J84" s="4">
        <v>4558</v>
      </c>
      <c r="K84" s="4" t="s">
        <v>107</v>
      </c>
      <c r="L84" s="4" t="s">
        <v>296</v>
      </c>
      <c r="N84" s="4" t="s">
        <v>79</v>
      </c>
      <c r="P84" s="4">
        <v>4</v>
      </c>
      <c r="R84" s="4" t="s">
        <v>603</v>
      </c>
      <c r="S84" s="4" t="s">
        <v>115</v>
      </c>
      <c r="T84" s="4" t="s">
        <v>110</v>
      </c>
      <c r="U84" s="14">
        <v>0</v>
      </c>
      <c r="V84" s="4" t="s">
        <v>45</v>
      </c>
      <c r="W84" s="4">
        <v>2</v>
      </c>
      <c r="X84" s="4" t="s">
        <v>46</v>
      </c>
      <c r="Y84" s="4" t="s">
        <v>111</v>
      </c>
      <c r="Z84" s="4" t="s">
        <v>96</v>
      </c>
      <c r="AA84" s="4" t="s">
        <v>96</v>
      </c>
      <c r="AB84" s="4" t="s">
        <v>112</v>
      </c>
      <c r="AC84" s="4" t="s">
        <v>112</v>
      </c>
      <c r="AD84" s="4" t="s">
        <v>113</v>
      </c>
      <c r="AE84" s="4" t="s">
        <v>114</v>
      </c>
      <c r="AF84" s="4" t="s">
        <v>54</v>
      </c>
      <c r="AG84" s="5" t="s">
        <v>96</v>
      </c>
      <c r="AH84" s="4" t="s">
        <v>115</v>
      </c>
      <c r="AK84" s="4">
        <v>0</v>
      </c>
      <c r="AL84" s="4">
        <v>0</v>
      </c>
    </row>
    <row r="85" spans="1:38" x14ac:dyDescent="0.25">
      <c r="A85" s="4" t="s">
        <v>306</v>
      </c>
      <c r="B85" s="4">
        <v>104</v>
      </c>
      <c r="C85" s="4" t="s">
        <v>307</v>
      </c>
      <c r="D85" s="4" t="str">
        <f t="shared" ref="D85:D107" si="14">MID(A85,1,2)</f>
        <v>EM</v>
      </c>
      <c r="E85" s="4" t="s">
        <v>36</v>
      </c>
      <c r="F85" s="4" t="s">
        <v>308</v>
      </c>
      <c r="G85" s="4" t="s">
        <v>229</v>
      </c>
      <c r="H85" s="4">
        <v>2022</v>
      </c>
      <c r="I85" s="4">
        <v>29.5</v>
      </c>
      <c r="J85" s="11">
        <f t="shared" ref="J85:J106" si="15">B85*I85</f>
        <v>3068</v>
      </c>
      <c r="K85" s="11" t="s">
        <v>39</v>
      </c>
      <c r="L85" s="29" t="s">
        <v>309</v>
      </c>
      <c r="M85" s="4" t="s">
        <v>310</v>
      </c>
      <c r="N85" s="4" t="s">
        <v>79</v>
      </c>
      <c r="O85" s="4">
        <v>126</v>
      </c>
      <c r="P85" s="4">
        <v>3</v>
      </c>
      <c r="Q85" s="4">
        <f t="shared" ref="Q85:Q105" si="16">O85*P85</f>
        <v>378</v>
      </c>
      <c r="R85" s="4" t="s">
        <v>80</v>
      </c>
      <c r="S85" s="4" t="s">
        <v>600</v>
      </c>
      <c r="T85" s="4" t="s">
        <v>94</v>
      </c>
      <c r="U85" s="14">
        <v>0.01</v>
      </c>
      <c r="V85" s="4" t="s">
        <v>124</v>
      </c>
      <c r="W85" s="4">
        <v>2</v>
      </c>
      <c r="X85" s="4" t="s">
        <v>54</v>
      </c>
      <c r="Y85" s="4" t="s">
        <v>47</v>
      </c>
      <c r="Z85" s="4" t="s">
        <v>48</v>
      </c>
      <c r="AA85" s="4">
        <v>6000</v>
      </c>
      <c r="AB85" s="4" t="s">
        <v>62</v>
      </c>
      <c r="AC85" s="4" t="s">
        <v>50</v>
      </c>
      <c r="AD85" s="4" t="s">
        <v>51</v>
      </c>
      <c r="AE85" s="4" t="s">
        <v>52</v>
      </c>
      <c r="AF85" s="4" t="s">
        <v>46</v>
      </c>
      <c r="AG85" s="5" t="s">
        <v>53</v>
      </c>
      <c r="AH85" s="4" t="s">
        <v>54</v>
      </c>
      <c r="AI85" s="29" t="str">
        <f t="shared" ref="AI85:AI100" si="17">_xlfn.TEXTBEFORE(C85,"_") &amp; " (" &amp; _xlfn.TEXTAFTER(C85,"_") &amp; ")"</f>
        <v>S19 Pro (104T)</v>
      </c>
      <c r="AJ85" s="29" t="s">
        <v>597</v>
      </c>
      <c r="AK85" s="4">
        <v>0</v>
      </c>
      <c r="AL85" s="4">
        <v>1</v>
      </c>
    </row>
    <row r="86" spans="1:38" x14ac:dyDescent="0.25">
      <c r="A86" s="4" t="s">
        <v>311</v>
      </c>
      <c r="B86" s="4">
        <v>100</v>
      </c>
      <c r="C86" s="4" t="s">
        <v>312</v>
      </c>
      <c r="D86" s="4" t="str">
        <f t="shared" si="14"/>
        <v>EM</v>
      </c>
      <c r="E86" s="4" t="s">
        <v>36</v>
      </c>
      <c r="F86" s="4" t="s">
        <v>308</v>
      </c>
      <c r="G86" s="4" t="s">
        <v>229</v>
      </c>
      <c r="H86" s="4">
        <v>2022</v>
      </c>
      <c r="I86" s="4">
        <v>29.5</v>
      </c>
      <c r="J86" s="11">
        <f t="shared" si="15"/>
        <v>2950</v>
      </c>
      <c r="K86" s="11" t="s">
        <v>39</v>
      </c>
      <c r="L86" s="29" t="s">
        <v>309</v>
      </c>
      <c r="M86" s="4" t="s">
        <v>310</v>
      </c>
      <c r="N86" s="4" t="s">
        <v>79</v>
      </c>
      <c r="O86" s="4">
        <v>126</v>
      </c>
      <c r="P86" s="4">
        <v>3</v>
      </c>
      <c r="Q86" s="4">
        <f t="shared" si="16"/>
        <v>378</v>
      </c>
      <c r="R86" s="4" t="s">
        <v>80</v>
      </c>
      <c r="S86" s="4" t="s">
        <v>600</v>
      </c>
      <c r="T86" s="4" t="s">
        <v>94</v>
      </c>
      <c r="U86" s="14">
        <v>0.01</v>
      </c>
      <c r="V86" s="4" t="s">
        <v>124</v>
      </c>
      <c r="W86" s="4">
        <v>2</v>
      </c>
      <c r="X86" s="4" t="s">
        <v>54</v>
      </c>
      <c r="Y86" s="4" t="s">
        <v>47</v>
      </c>
      <c r="Z86" s="4" t="s">
        <v>48</v>
      </c>
      <c r="AA86" s="4">
        <v>6000</v>
      </c>
      <c r="AB86" s="4" t="s">
        <v>62</v>
      </c>
      <c r="AC86" s="4" t="s">
        <v>50</v>
      </c>
      <c r="AD86" s="4" t="s">
        <v>51</v>
      </c>
      <c r="AE86" s="4" t="s">
        <v>52</v>
      </c>
      <c r="AF86" s="4" t="s">
        <v>46</v>
      </c>
      <c r="AG86" s="5" t="s">
        <v>53</v>
      </c>
      <c r="AH86" s="4" t="s">
        <v>54</v>
      </c>
      <c r="AI86" s="29" t="str">
        <f t="shared" si="17"/>
        <v>S19 Pro (100T)</v>
      </c>
      <c r="AJ86" s="29" t="s">
        <v>597</v>
      </c>
      <c r="AK86" s="4">
        <v>1</v>
      </c>
      <c r="AL86" s="4">
        <v>1</v>
      </c>
    </row>
    <row r="87" spans="1:38" x14ac:dyDescent="0.25">
      <c r="A87" s="4" t="s">
        <v>313</v>
      </c>
      <c r="B87" s="4">
        <v>96</v>
      </c>
      <c r="C87" s="4" t="s">
        <v>314</v>
      </c>
      <c r="D87" s="4" t="str">
        <f t="shared" si="14"/>
        <v>EM</v>
      </c>
      <c r="E87" s="4" t="s">
        <v>36</v>
      </c>
      <c r="F87" s="4" t="s">
        <v>308</v>
      </c>
      <c r="G87" s="4" t="s">
        <v>229</v>
      </c>
      <c r="H87" s="4">
        <v>2022</v>
      </c>
      <c r="I87" s="4">
        <v>29.5</v>
      </c>
      <c r="J87" s="11">
        <f t="shared" si="15"/>
        <v>2832</v>
      </c>
      <c r="K87" s="11" t="s">
        <v>39</v>
      </c>
      <c r="L87" s="29" t="s">
        <v>309</v>
      </c>
      <c r="M87" s="4" t="s">
        <v>310</v>
      </c>
      <c r="N87" s="4" t="s">
        <v>79</v>
      </c>
      <c r="O87" s="4">
        <v>126</v>
      </c>
      <c r="P87" s="4">
        <v>3</v>
      </c>
      <c r="Q87" s="4">
        <f t="shared" si="16"/>
        <v>378</v>
      </c>
      <c r="R87" s="4" t="s">
        <v>80</v>
      </c>
      <c r="S87" s="4" t="s">
        <v>600</v>
      </c>
      <c r="T87" s="4" t="s">
        <v>94</v>
      </c>
      <c r="U87" s="14">
        <v>0.01</v>
      </c>
      <c r="V87" s="4" t="s">
        <v>124</v>
      </c>
      <c r="W87" s="4">
        <v>2</v>
      </c>
      <c r="X87" s="4" t="s">
        <v>54</v>
      </c>
      <c r="Y87" s="4" t="s">
        <v>47</v>
      </c>
      <c r="Z87" s="4" t="s">
        <v>48</v>
      </c>
      <c r="AA87" s="4">
        <v>6000</v>
      </c>
      <c r="AB87" s="4" t="s">
        <v>62</v>
      </c>
      <c r="AC87" s="4" t="s">
        <v>50</v>
      </c>
      <c r="AD87" s="4" t="s">
        <v>51</v>
      </c>
      <c r="AE87" s="4" t="s">
        <v>52</v>
      </c>
      <c r="AF87" s="4" t="s">
        <v>46</v>
      </c>
      <c r="AG87" s="5" t="s">
        <v>53</v>
      </c>
      <c r="AH87" s="4" t="s">
        <v>54</v>
      </c>
      <c r="AI87" s="29" t="str">
        <f t="shared" si="17"/>
        <v>S19 Pro (96T)</v>
      </c>
      <c r="AJ87" s="29" t="s">
        <v>597</v>
      </c>
      <c r="AK87" s="4">
        <v>0</v>
      </c>
      <c r="AL87" s="4">
        <v>1</v>
      </c>
    </row>
    <row r="88" spans="1:38" x14ac:dyDescent="0.25">
      <c r="A88" s="4" t="s">
        <v>315</v>
      </c>
      <c r="B88" s="4">
        <v>92</v>
      </c>
      <c r="C88" s="4" t="s">
        <v>316</v>
      </c>
      <c r="D88" s="4" t="str">
        <f t="shared" si="14"/>
        <v>EM</v>
      </c>
      <c r="E88" s="4" t="s">
        <v>36</v>
      </c>
      <c r="F88" s="4" t="s">
        <v>308</v>
      </c>
      <c r="G88" s="4" t="s">
        <v>229</v>
      </c>
      <c r="H88" s="4">
        <v>2022</v>
      </c>
      <c r="I88" s="4">
        <v>29.5</v>
      </c>
      <c r="J88" s="11">
        <f t="shared" si="15"/>
        <v>2714</v>
      </c>
      <c r="K88" s="11" t="s">
        <v>39</v>
      </c>
      <c r="L88" s="29" t="s">
        <v>309</v>
      </c>
      <c r="M88" s="4" t="s">
        <v>310</v>
      </c>
      <c r="N88" s="4" t="s">
        <v>79</v>
      </c>
      <c r="O88" s="4">
        <v>126</v>
      </c>
      <c r="P88" s="4">
        <v>3</v>
      </c>
      <c r="Q88" s="4">
        <f t="shared" si="16"/>
        <v>378</v>
      </c>
      <c r="R88" s="4" t="s">
        <v>80</v>
      </c>
      <c r="S88" s="4" t="s">
        <v>600</v>
      </c>
      <c r="T88" s="4" t="s">
        <v>94</v>
      </c>
      <c r="U88" s="14">
        <v>0.01</v>
      </c>
      <c r="V88" s="4" t="s">
        <v>124</v>
      </c>
      <c r="W88" s="4">
        <v>2</v>
      </c>
      <c r="X88" s="4" t="s">
        <v>54</v>
      </c>
      <c r="Y88" s="4" t="s">
        <v>47</v>
      </c>
      <c r="Z88" s="4" t="s">
        <v>48</v>
      </c>
      <c r="AA88" s="4">
        <v>6000</v>
      </c>
      <c r="AB88" s="4" t="s">
        <v>62</v>
      </c>
      <c r="AC88" s="4" t="s">
        <v>50</v>
      </c>
      <c r="AD88" s="4" t="s">
        <v>51</v>
      </c>
      <c r="AE88" s="4" t="s">
        <v>52</v>
      </c>
      <c r="AF88" s="4" t="s">
        <v>46</v>
      </c>
      <c r="AG88" s="5" t="s">
        <v>53</v>
      </c>
      <c r="AH88" s="4" t="s">
        <v>54</v>
      </c>
      <c r="AI88" s="29" t="str">
        <f t="shared" si="17"/>
        <v>S19 Pro (92T)</v>
      </c>
      <c r="AJ88" s="29" t="s">
        <v>597</v>
      </c>
      <c r="AK88" s="4">
        <v>0</v>
      </c>
      <c r="AL88" s="4">
        <v>1</v>
      </c>
    </row>
    <row r="89" spans="1:38" x14ac:dyDescent="0.25">
      <c r="A89" s="4" t="s">
        <v>317</v>
      </c>
      <c r="B89" s="4">
        <v>88</v>
      </c>
      <c r="C89" s="4" t="s">
        <v>318</v>
      </c>
      <c r="D89" s="4" t="str">
        <f t="shared" si="14"/>
        <v>EM</v>
      </c>
      <c r="E89" s="4" t="s">
        <v>36</v>
      </c>
      <c r="F89" s="4" t="s">
        <v>308</v>
      </c>
      <c r="G89" s="4" t="s">
        <v>229</v>
      </c>
      <c r="H89" s="4">
        <v>2022</v>
      </c>
      <c r="I89" s="4">
        <v>29.5</v>
      </c>
      <c r="J89" s="11">
        <f t="shared" si="15"/>
        <v>2596</v>
      </c>
      <c r="K89" s="11" t="s">
        <v>39</v>
      </c>
      <c r="L89" s="29" t="s">
        <v>309</v>
      </c>
      <c r="M89" s="4" t="s">
        <v>310</v>
      </c>
      <c r="N89" s="4" t="s">
        <v>79</v>
      </c>
      <c r="O89" s="4">
        <v>126</v>
      </c>
      <c r="P89" s="4">
        <v>3</v>
      </c>
      <c r="Q89" s="4">
        <f t="shared" si="16"/>
        <v>378</v>
      </c>
      <c r="R89" s="4" t="s">
        <v>80</v>
      </c>
      <c r="S89" s="4" t="s">
        <v>600</v>
      </c>
      <c r="T89" s="4" t="s">
        <v>94</v>
      </c>
      <c r="U89" s="14">
        <v>0.01</v>
      </c>
      <c r="V89" s="4" t="s">
        <v>124</v>
      </c>
      <c r="W89" s="4">
        <v>2</v>
      </c>
      <c r="X89" s="4" t="s">
        <v>54</v>
      </c>
      <c r="Y89" s="4" t="s">
        <v>47</v>
      </c>
      <c r="Z89" s="4" t="s">
        <v>48</v>
      </c>
      <c r="AA89" s="4">
        <v>6000</v>
      </c>
      <c r="AB89" s="4" t="s">
        <v>62</v>
      </c>
      <c r="AC89" s="4" t="s">
        <v>50</v>
      </c>
      <c r="AD89" s="4" t="s">
        <v>51</v>
      </c>
      <c r="AE89" s="4" t="s">
        <v>52</v>
      </c>
      <c r="AF89" s="4" t="s">
        <v>46</v>
      </c>
      <c r="AG89" s="5" t="s">
        <v>53</v>
      </c>
      <c r="AH89" s="4" t="s">
        <v>54</v>
      </c>
      <c r="AI89" s="29" t="str">
        <f t="shared" si="17"/>
        <v>S19 Pro (88T)</v>
      </c>
      <c r="AJ89" s="29" t="s">
        <v>597</v>
      </c>
      <c r="AK89" s="4">
        <v>0</v>
      </c>
      <c r="AL89" s="4">
        <v>1</v>
      </c>
    </row>
    <row r="90" spans="1:38" x14ac:dyDescent="0.25">
      <c r="A90" s="4" t="s">
        <v>319</v>
      </c>
      <c r="B90" s="4">
        <v>84</v>
      </c>
      <c r="C90" s="4" t="s">
        <v>320</v>
      </c>
      <c r="D90" s="4" t="str">
        <f t="shared" si="14"/>
        <v>EM</v>
      </c>
      <c r="E90" s="4" t="s">
        <v>36</v>
      </c>
      <c r="F90" s="4" t="s">
        <v>308</v>
      </c>
      <c r="G90" s="4" t="s">
        <v>229</v>
      </c>
      <c r="H90" s="4">
        <v>2022</v>
      </c>
      <c r="I90" s="4">
        <v>29.5</v>
      </c>
      <c r="J90" s="11">
        <f t="shared" si="15"/>
        <v>2478</v>
      </c>
      <c r="K90" s="11" t="s">
        <v>39</v>
      </c>
      <c r="L90" s="29" t="s">
        <v>309</v>
      </c>
      <c r="M90" s="4" t="s">
        <v>310</v>
      </c>
      <c r="N90" s="4" t="s">
        <v>79</v>
      </c>
      <c r="O90" s="4">
        <v>126</v>
      </c>
      <c r="P90" s="4">
        <v>3</v>
      </c>
      <c r="Q90" s="4">
        <f t="shared" si="16"/>
        <v>378</v>
      </c>
      <c r="R90" s="4" t="s">
        <v>80</v>
      </c>
      <c r="S90" s="4" t="s">
        <v>600</v>
      </c>
      <c r="T90" s="4" t="s">
        <v>94</v>
      </c>
      <c r="U90" s="14">
        <v>0.01</v>
      </c>
      <c r="V90" s="4" t="s">
        <v>124</v>
      </c>
      <c r="W90" s="4">
        <v>2</v>
      </c>
      <c r="X90" s="4" t="s">
        <v>54</v>
      </c>
      <c r="Y90" s="4" t="s">
        <v>47</v>
      </c>
      <c r="Z90" s="4" t="s">
        <v>48</v>
      </c>
      <c r="AA90" s="4">
        <v>6000</v>
      </c>
      <c r="AB90" s="4" t="s">
        <v>62</v>
      </c>
      <c r="AC90" s="4" t="s">
        <v>50</v>
      </c>
      <c r="AD90" s="4" t="s">
        <v>51</v>
      </c>
      <c r="AE90" s="4" t="s">
        <v>52</v>
      </c>
      <c r="AF90" s="4" t="s">
        <v>46</v>
      </c>
      <c r="AG90" s="5" t="s">
        <v>53</v>
      </c>
      <c r="AH90" s="4" t="s">
        <v>54</v>
      </c>
      <c r="AI90" s="29" t="str">
        <f t="shared" si="17"/>
        <v>S19 Pro (84T)</v>
      </c>
      <c r="AJ90" s="29" t="s">
        <v>597</v>
      </c>
      <c r="AK90" s="4">
        <v>0</v>
      </c>
      <c r="AL90" s="4">
        <v>0</v>
      </c>
    </row>
    <row r="91" spans="1:38" x14ac:dyDescent="0.25">
      <c r="A91" s="4" t="s">
        <v>321</v>
      </c>
      <c r="B91" s="4">
        <v>90</v>
      </c>
      <c r="C91" s="4" t="s">
        <v>64</v>
      </c>
      <c r="D91" s="4" t="str">
        <f t="shared" si="14"/>
        <v>ES</v>
      </c>
      <c r="E91" s="4" t="s">
        <v>59</v>
      </c>
      <c r="F91" s="4" t="s">
        <v>322</v>
      </c>
      <c r="G91" s="4" t="s">
        <v>229</v>
      </c>
      <c r="H91" s="4">
        <v>2022</v>
      </c>
      <c r="I91" s="4">
        <v>34.5</v>
      </c>
      <c r="J91" s="11">
        <f t="shared" si="15"/>
        <v>3105</v>
      </c>
      <c r="K91" s="11" t="s">
        <v>39</v>
      </c>
      <c r="L91" s="4" t="s">
        <v>323</v>
      </c>
      <c r="N91" s="4" t="s">
        <v>79</v>
      </c>
      <c r="O91" s="4">
        <v>126</v>
      </c>
      <c r="P91" s="4">
        <v>3</v>
      </c>
      <c r="Q91" s="4">
        <f t="shared" si="16"/>
        <v>378</v>
      </c>
      <c r="R91" s="4" t="s">
        <v>80</v>
      </c>
      <c r="S91" s="4" t="s">
        <v>600</v>
      </c>
      <c r="T91" s="4" t="s">
        <v>135</v>
      </c>
      <c r="U91" s="16">
        <v>1E-3</v>
      </c>
      <c r="V91" s="4" t="s">
        <v>124</v>
      </c>
      <c r="W91" s="4">
        <v>2</v>
      </c>
      <c r="X91" s="4" t="s">
        <v>54</v>
      </c>
      <c r="Y91" s="4" t="s">
        <v>47</v>
      </c>
      <c r="Z91" s="4" t="s">
        <v>48</v>
      </c>
      <c r="AA91" s="4">
        <v>6000</v>
      </c>
      <c r="AB91" s="4" t="s">
        <v>62</v>
      </c>
      <c r="AC91" s="4" t="s">
        <v>50</v>
      </c>
      <c r="AD91" s="4" t="s">
        <v>51</v>
      </c>
      <c r="AE91" s="4" t="s">
        <v>52</v>
      </c>
      <c r="AF91" s="4" t="s">
        <v>46</v>
      </c>
      <c r="AG91" s="5" t="s">
        <v>53</v>
      </c>
      <c r="AH91" s="4" t="s">
        <v>54</v>
      </c>
      <c r="AI91" s="4" t="str">
        <f t="shared" si="17"/>
        <v>S19 (90T)</v>
      </c>
      <c r="AJ91" s="4" t="str">
        <f t="shared" ref="AJ91:AJ100" si="18">_xlfn.TEXTBEFORE(C91,"_") &amp; " (Vnish)"</f>
        <v>S19 (Vnish)</v>
      </c>
      <c r="AK91" s="4">
        <v>0</v>
      </c>
      <c r="AL91" s="4">
        <v>0</v>
      </c>
    </row>
    <row r="92" spans="1:38" x14ac:dyDescent="0.25">
      <c r="A92" s="4" t="s">
        <v>324</v>
      </c>
      <c r="B92" s="4">
        <v>86</v>
      </c>
      <c r="C92" s="4" t="s">
        <v>173</v>
      </c>
      <c r="D92" s="4" t="str">
        <f t="shared" si="14"/>
        <v>ES</v>
      </c>
      <c r="E92" s="4" t="s">
        <v>59</v>
      </c>
      <c r="F92" s="4" t="s">
        <v>322</v>
      </c>
      <c r="G92" s="4" t="s">
        <v>229</v>
      </c>
      <c r="H92" s="4">
        <v>2022</v>
      </c>
      <c r="I92" s="4">
        <v>34.5</v>
      </c>
      <c r="J92" s="11">
        <f t="shared" si="15"/>
        <v>2967</v>
      </c>
      <c r="K92" s="11" t="s">
        <v>39</v>
      </c>
      <c r="L92" s="4" t="s">
        <v>323</v>
      </c>
      <c r="N92" s="4" t="s">
        <v>79</v>
      </c>
      <c r="O92" s="4">
        <v>126</v>
      </c>
      <c r="P92" s="4">
        <v>3</v>
      </c>
      <c r="Q92" s="4">
        <f t="shared" si="16"/>
        <v>378</v>
      </c>
      <c r="R92" s="4" t="s">
        <v>80</v>
      </c>
      <c r="S92" s="4" t="s">
        <v>600</v>
      </c>
      <c r="T92" s="4" t="s">
        <v>135</v>
      </c>
      <c r="U92" s="16">
        <v>1E-3</v>
      </c>
      <c r="V92" s="4" t="s">
        <v>124</v>
      </c>
      <c r="W92" s="4">
        <v>2</v>
      </c>
      <c r="X92" s="4" t="s">
        <v>54</v>
      </c>
      <c r="Y92" s="4" t="s">
        <v>47</v>
      </c>
      <c r="Z92" s="4" t="s">
        <v>48</v>
      </c>
      <c r="AA92" s="4">
        <v>6000</v>
      </c>
      <c r="AB92" s="4" t="s">
        <v>62</v>
      </c>
      <c r="AC92" s="4" t="s">
        <v>50</v>
      </c>
      <c r="AD92" s="4" t="s">
        <v>51</v>
      </c>
      <c r="AE92" s="4" t="s">
        <v>52</v>
      </c>
      <c r="AF92" s="4" t="s">
        <v>46</v>
      </c>
      <c r="AG92" s="5" t="s">
        <v>53</v>
      </c>
      <c r="AH92" s="4" t="s">
        <v>54</v>
      </c>
      <c r="AI92" s="4" t="str">
        <f t="shared" si="17"/>
        <v>S19 (86T)</v>
      </c>
      <c r="AJ92" s="4" t="str">
        <f t="shared" si="18"/>
        <v>S19 (Vnish)</v>
      </c>
      <c r="AK92" s="4">
        <v>0</v>
      </c>
      <c r="AL92" s="4">
        <v>0</v>
      </c>
    </row>
    <row r="93" spans="1:38" x14ac:dyDescent="0.25">
      <c r="A93" s="4" t="s">
        <v>325</v>
      </c>
      <c r="B93" s="4">
        <v>82</v>
      </c>
      <c r="C93" s="4" t="s">
        <v>175</v>
      </c>
      <c r="D93" s="4" t="str">
        <f t="shared" si="14"/>
        <v>ES</v>
      </c>
      <c r="E93" s="4" t="s">
        <v>59</v>
      </c>
      <c r="F93" s="4" t="s">
        <v>322</v>
      </c>
      <c r="G93" s="4" t="s">
        <v>229</v>
      </c>
      <c r="H93" s="4">
        <v>2022</v>
      </c>
      <c r="I93" s="4">
        <v>34.5</v>
      </c>
      <c r="J93" s="11">
        <f t="shared" si="15"/>
        <v>2829</v>
      </c>
      <c r="K93" s="11" t="s">
        <v>39</v>
      </c>
      <c r="L93" s="4" t="s">
        <v>323</v>
      </c>
      <c r="N93" s="4" t="s">
        <v>79</v>
      </c>
      <c r="O93" s="4">
        <v>126</v>
      </c>
      <c r="P93" s="4">
        <v>3</v>
      </c>
      <c r="Q93" s="4">
        <f t="shared" si="16"/>
        <v>378</v>
      </c>
      <c r="R93" s="4" t="s">
        <v>80</v>
      </c>
      <c r="S93" s="4" t="s">
        <v>600</v>
      </c>
      <c r="T93" s="4" t="s">
        <v>135</v>
      </c>
      <c r="U93" s="16">
        <v>1E-3</v>
      </c>
      <c r="V93" s="4" t="s">
        <v>124</v>
      </c>
      <c r="W93" s="4">
        <v>2</v>
      </c>
      <c r="X93" s="4" t="s">
        <v>54</v>
      </c>
      <c r="Y93" s="4" t="s">
        <v>47</v>
      </c>
      <c r="Z93" s="4" t="s">
        <v>48</v>
      </c>
      <c r="AA93" s="4">
        <v>6000</v>
      </c>
      <c r="AB93" s="4" t="s">
        <v>62</v>
      </c>
      <c r="AC93" s="4" t="s">
        <v>50</v>
      </c>
      <c r="AD93" s="4" t="s">
        <v>51</v>
      </c>
      <c r="AE93" s="4" t="s">
        <v>52</v>
      </c>
      <c r="AF93" s="4" t="s">
        <v>46</v>
      </c>
      <c r="AG93" s="5" t="s">
        <v>53</v>
      </c>
      <c r="AH93" s="4" t="s">
        <v>54</v>
      </c>
      <c r="AI93" s="4" t="str">
        <f t="shared" si="17"/>
        <v>S19 (82T)</v>
      </c>
      <c r="AJ93" s="4" t="str">
        <f t="shared" si="18"/>
        <v>S19 (Vnish)</v>
      </c>
      <c r="AK93" s="4">
        <v>0</v>
      </c>
      <c r="AL93" s="4">
        <v>0</v>
      </c>
    </row>
    <row r="94" spans="1:38" x14ac:dyDescent="0.25">
      <c r="A94" s="4" t="s">
        <v>326</v>
      </c>
      <c r="B94" s="4">
        <v>180</v>
      </c>
      <c r="C94" s="4" t="s">
        <v>327</v>
      </c>
      <c r="D94" s="4" t="str">
        <f t="shared" si="14"/>
        <v>F1</v>
      </c>
      <c r="E94" s="4" t="s">
        <v>328</v>
      </c>
      <c r="F94" s="4" t="s">
        <v>329</v>
      </c>
      <c r="G94" s="4" t="s">
        <v>106</v>
      </c>
      <c r="H94" s="4">
        <v>2024</v>
      </c>
      <c r="I94" s="4">
        <v>19</v>
      </c>
      <c r="J94" s="11">
        <f t="shared" si="15"/>
        <v>3420</v>
      </c>
      <c r="K94" s="11" t="s">
        <v>39</v>
      </c>
      <c r="L94" s="4" t="s">
        <v>330</v>
      </c>
      <c r="N94" s="4" t="s">
        <v>109</v>
      </c>
      <c r="O94" s="4">
        <v>108</v>
      </c>
      <c r="P94" s="4">
        <v>3</v>
      </c>
      <c r="Q94" s="4">
        <f t="shared" si="16"/>
        <v>324</v>
      </c>
      <c r="R94" s="4" t="s">
        <v>331</v>
      </c>
      <c r="S94" s="4" t="s">
        <v>115</v>
      </c>
      <c r="T94" s="4" t="s">
        <v>94</v>
      </c>
      <c r="U94" s="14">
        <v>0.95</v>
      </c>
      <c r="V94" s="4" t="s">
        <v>124</v>
      </c>
      <c r="W94" s="4">
        <v>2</v>
      </c>
      <c r="X94" s="4" t="s">
        <v>54</v>
      </c>
      <c r="Y94" s="4" t="s">
        <v>47</v>
      </c>
      <c r="Z94" s="4" t="s">
        <v>48</v>
      </c>
      <c r="AA94" s="4">
        <v>7000</v>
      </c>
      <c r="AB94" s="4" t="s">
        <v>62</v>
      </c>
      <c r="AC94" s="4" t="s">
        <v>332</v>
      </c>
      <c r="AD94" s="4" t="s">
        <v>333</v>
      </c>
      <c r="AE94" s="4" t="s">
        <v>114</v>
      </c>
      <c r="AF94" s="4" t="s">
        <v>54</v>
      </c>
      <c r="AG94" s="5" t="s">
        <v>96</v>
      </c>
      <c r="AH94" s="4" t="s">
        <v>46</v>
      </c>
      <c r="AI94" s="4" t="str">
        <f t="shared" si="17"/>
        <v>T21 (180T)</v>
      </c>
      <c r="AJ94" s="4" t="str">
        <f t="shared" si="18"/>
        <v>T21 (Vnish)</v>
      </c>
      <c r="AK94" s="4">
        <v>0</v>
      </c>
      <c r="AL94" s="4">
        <v>0</v>
      </c>
    </row>
    <row r="95" spans="1:38" x14ac:dyDescent="0.25">
      <c r="A95" s="4" t="s">
        <v>334</v>
      </c>
      <c r="B95" s="4">
        <v>190</v>
      </c>
      <c r="C95" s="4" t="s">
        <v>335</v>
      </c>
      <c r="D95" s="4" t="str">
        <f t="shared" si="14"/>
        <v>F2</v>
      </c>
      <c r="E95" s="4" t="s">
        <v>328</v>
      </c>
      <c r="F95" s="4" t="s">
        <v>336</v>
      </c>
      <c r="G95" s="4" t="s">
        <v>106</v>
      </c>
      <c r="H95" s="4">
        <v>2024</v>
      </c>
      <c r="I95" s="4">
        <v>19</v>
      </c>
      <c r="J95" s="11">
        <f t="shared" si="15"/>
        <v>3610</v>
      </c>
      <c r="K95" s="11" t="s">
        <v>39</v>
      </c>
      <c r="L95" s="4" t="s">
        <v>337</v>
      </c>
      <c r="N95" s="4" t="s">
        <v>109</v>
      </c>
      <c r="O95" s="4">
        <v>108</v>
      </c>
      <c r="P95" s="4">
        <v>3</v>
      </c>
      <c r="Q95" s="4">
        <f t="shared" si="16"/>
        <v>324</v>
      </c>
      <c r="R95" s="4" t="s">
        <v>331</v>
      </c>
      <c r="S95" s="4" t="s">
        <v>115</v>
      </c>
      <c r="T95" s="4" t="s">
        <v>94</v>
      </c>
      <c r="U95" s="14">
        <v>0.95</v>
      </c>
      <c r="V95" s="4" t="s">
        <v>124</v>
      </c>
      <c r="W95" s="4">
        <v>2</v>
      </c>
      <c r="X95" s="4" t="s">
        <v>54</v>
      </c>
      <c r="Y95" s="4" t="s">
        <v>47</v>
      </c>
      <c r="Z95" s="4" t="s">
        <v>48</v>
      </c>
      <c r="AA95" s="4">
        <v>7000</v>
      </c>
      <c r="AB95" s="4" t="s">
        <v>62</v>
      </c>
      <c r="AC95" s="4" t="s">
        <v>332</v>
      </c>
      <c r="AD95" s="4" t="s">
        <v>333</v>
      </c>
      <c r="AE95" s="4" t="s">
        <v>114</v>
      </c>
      <c r="AF95" s="4" t="s">
        <v>54</v>
      </c>
      <c r="AG95" s="5" t="s">
        <v>96</v>
      </c>
      <c r="AH95" s="4" t="s">
        <v>46</v>
      </c>
      <c r="AI95" s="4" t="str">
        <f t="shared" si="17"/>
        <v>T21 (190T)</v>
      </c>
      <c r="AJ95" s="4" t="str">
        <f t="shared" si="18"/>
        <v>T21 (Vnish)</v>
      </c>
      <c r="AK95" s="4">
        <v>1</v>
      </c>
      <c r="AL95" s="4">
        <v>0</v>
      </c>
    </row>
    <row r="96" spans="1:38" x14ac:dyDescent="0.25">
      <c r="A96" s="4" t="s">
        <v>338</v>
      </c>
      <c r="B96" s="4">
        <v>190</v>
      </c>
      <c r="C96" s="4" t="s">
        <v>335</v>
      </c>
      <c r="D96" s="4" t="str">
        <f t="shared" si="14"/>
        <v>F9</v>
      </c>
      <c r="E96" s="4" t="s">
        <v>328</v>
      </c>
      <c r="F96" s="4" t="s">
        <v>339</v>
      </c>
      <c r="G96" s="4" t="s">
        <v>106</v>
      </c>
      <c r="H96" s="4">
        <v>2024</v>
      </c>
      <c r="I96" s="4">
        <v>19</v>
      </c>
      <c r="J96" s="11">
        <f t="shared" si="15"/>
        <v>3610</v>
      </c>
      <c r="K96" s="11" t="s">
        <v>39</v>
      </c>
      <c r="L96" s="4" t="s">
        <v>330</v>
      </c>
      <c r="N96" s="4" t="s">
        <v>109</v>
      </c>
      <c r="O96" s="4">
        <v>108</v>
      </c>
      <c r="P96" s="4">
        <v>3</v>
      </c>
      <c r="Q96" s="4">
        <f t="shared" si="16"/>
        <v>324</v>
      </c>
      <c r="R96" s="4" t="s">
        <v>331</v>
      </c>
      <c r="S96" s="4" t="s">
        <v>115</v>
      </c>
      <c r="T96" s="4" t="s">
        <v>94</v>
      </c>
      <c r="U96" s="14">
        <v>0.95</v>
      </c>
      <c r="V96" s="4" t="s">
        <v>124</v>
      </c>
      <c r="W96" s="4">
        <v>2</v>
      </c>
      <c r="X96" s="4" t="s">
        <v>54</v>
      </c>
      <c r="Y96" s="4" t="s">
        <v>47</v>
      </c>
      <c r="Z96" s="4" t="s">
        <v>48</v>
      </c>
      <c r="AA96" s="4">
        <v>7000</v>
      </c>
      <c r="AB96" s="4" t="s">
        <v>62</v>
      </c>
      <c r="AC96" s="4" t="s">
        <v>332</v>
      </c>
      <c r="AD96" s="4" t="s">
        <v>333</v>
      </c>
      <c r="AE96" s="4" t="s">
        <v>114</v>
      </c>
      <c r="AF96" s="4" t="s">
        <v>54</v>
      </c>
      <c r="AG96" s="5" t="s">
        <v>96</v>
      </c>
      <c r="AH96" s="4" t="s">
        <v>46</v>
      </c>
      <c r="AI96" s="4" t="str">
        <f t="shared" si="17"/>
        <v>T21 (190T)</v>
      </c>
      <c r="AJ96" s="4" t="str">
        <f t="shared" si="18"/>
        <v>T21 (Vnish)</v>
      </c>
      <c r="AK96" s="4">
        <v>0</v>
      </c>
      <c r="AL96" s="4">
        <v>0</v>
      </c>
    </row>
    <row r="97" spans="1:38" x14ac:dyDescent="0.25">
      <c r="A97" s="4" t="s">
        <v>340</v>
      </c>
      <c r="B97" s="4">
        <v>180</v>
      </c>
      <c r="C97" s="4" t="s">
        <v>327</v>
      </c>
      <c r="D97" s="4" t="str">
        <f t="shared" si="14"/>
        <v>F9</v>
      </c>
      <c r="E97" s="4" t="s">
        <v>328</v>
      </c>
      <c r="F97" s="4" t="s">
        <v>339</v>
      </c>
      <c r="G97" s="4" t="s">
        <v>106</v>
      </c>
      <c r="H97" s="4">
        <v>2024</v>
      </c>
      <c r="I97" s="4">
        <v>19</v>
      </c>
      <c r="J97" s="11">
        <f t="shared" si="15"/>
        <v>3420</v>
      </c>
      <c r="K97" s="11" t="s">
        <v>39</v>
      </c>
      <c r="L97" s="4" t="s">
        <v>330</v>
      </c>
      <c r="N97" s="4" t="s">
        <v>109</v>
      </c>
      <c r="O97" s="4">
        <v>108</v>
      </c>
      <c r="P97" s="4">
        <v>3</v>
      </c>
      <c r="Q97" s="4">
        <f t="shared" si="16"/>
        <v>324</v>
      </c>
      <c r="R97" s="4" t="s">
        <v>331</v>
      </c>
      <c r="S97" s="4" t="s">
        <v>115</v>
      </c>
      <c r="T97" s="4" t="s">
        <v>94</v>
      </c>
      <c r="U97" s="14">
        <v>0.95</v>
      </c>
      <c r="V97" s="4" t="s">
        <v>124</v>
      </c>
      <c r="W97" s="4">
        <v>2</v>
      </c>
      <c r="X97" s="4" t="s">
        <v>54</v>
      </c>
      <c r="Y97" s="4" t="s">
        <v>47</v>
      </c>
      <c r="Z97" s="4" t="s">
        <v>48</v>
      </c>
      <c r="AA97" s="4">
        <v>7000</v>
      </c>
      <c r="AB97" s="4" t="s">
        <v>62</v>
      </c>
      <c r="AC97" s="4" t="s">
        <v>332</v>
      </c>
      <c r="AD97" s="4" t="s">
        <v>333</v>
      </c>
      <c r="AE97" s="4" t="s">
        <v>114</v>
      </c>
      <c r="AF97" s="4" t="s">
        <v>54</v>
      </c>
      <c r="AG97" s="5" t="s">
        <v>96</v>
      </c>
      <c r="AH97" s="4" t="s">
        <v>46</v>
      </c>
      <c r="AI97" s="4" t="str">
        <f t="shared" si="17"/>
        <v>T21 (180T)</v>
      </c>
      <c r="AJ97" s="4" t="str">
        <f t="shared" si="18"/>
        <v>T21 (Vnish)</v>
      </c>
      <c r="AK97" s="4">
        <v>0</v>
      </c>
      <c r="AL97" s="4">
        <v>0</v>
      </c>
    </row>
    <row r="98" spans="1:38" x14ac:dyDescent="0.25">
      <c r="A98" s="4" t="s">
        <v>341</v>
      </c>
      <c r="B98" s="4">
        <v>200</v>
      </c>
      <c r="C98" s="4" t="s">
        <v>128</v>
      </c>
      <c r="D98" s="4" t="str">
        <f t="shared" si="14"/>
        <v>FA</v>
      </c>
      <c r="E98" s="4" t="s">
        <v>129</v>
      </c>
      <c r="F98" s="4" t="s">
        <v>342</v>
      </c>
      <c r="G98" s="4" t="s">
        <v>106</v>
      </c>
      <c r="H98" s="4">
        <v>2024</v>
      </c>
      <c r="I98" s="4">
        <v>17.5</v>
      </c>
      <c r="J98" s="11">
        <f t="shared" si="15"/>
        <v>3500</v>
      </c>
      <c r="K98" s="11" t="s">
        <v>39</v>
      </c>
      <c r="L98" s="4" t="s">
        <v>343</v>
      </c>
      <c r="M98" s="4" t="s">
        <v>344</v>
      </c>
      <c r="N98" s="4" t="s">
        <v>109</v>
      </c>
      <c r="O98" s="4">
        <v>108</v>
      </c>
      <c r="P98" s="4">
        <v>3</v>
      </c>
      <c r="Q98" s="4">
        <f t="shared" si="16"/>
        <v>324</v>
      </c>
      <c r="R98" s="4" t="s">
        <v>123</v>
      </c>
      <c r="S98" s="4" t="s">
        <v>599</v>
      </c>
      <c r="T98" s="4" t="s">
        <v>135</v>
      </c>
      <c r="U98" s="14">
        <v>0</v>
      </c>
      <c r="V98" s="4" t="s">
        <v>124</v>
      </c>
      <c r="W98" s="4">
        <v>2</v>
      </c>
      <c r="X98" s="4" t="s">
        <v>54</v>
      </c>
      <c r="Y98" s="4" t="s">
        <v>47</v>
      </c>
      <c r="Z98" s="4" t="s">
        <v>48</v>
      </c>
      <c r="AA98" s="4">
        <v>7000</v>
      </c>
      <c r="AB98" s="4" t="s">
        <v>62</v>
      </c>
      <c r="AC98" s="4" t="s">
        <v>50</v>
      </c>
      <c r="AD98" s="4" t="s">
        <v>125</v>
      </c>
      <c r="AE98" s="4" t="s">
        <v>126</v>
      </c>
      <c r="AF98" s="4" t="s">
        <v>46</v>
      </c>
      <c r="AG98" s="5" t="s">
        <v>83</v>
      </c>
      <c r="AH98" s="4" t="s">
        <v>54</v>
      </c>
      <c r="AI98" s="4" t="str">
        <f t="shared" si="17"/>
        <v>S21 (200T)</v>
      </c>
      <c r="AJ98" s="4" t="str">
        <f t="shared" si="18"/>
        <v>S21 (Vnish)</v>
      </c>
      <c r="AK98" s="4">
        <v>0</v>
      </c>
      <c r="AL98" s="4">
        <v>1</v>
      </c>
    </row>
    <row r="99" spans="1:38" x14ac:dyDescent="0.25">
      <c r="A99" s="4" t="s">
        <v>345</v>
      </c>
      <c r="B99" s="4">
        <v>188</v>
      </c>
      <c r="C99" s="4" t="s">
        <v>137</v>
      </c>
      <c r="D99" s="4" t="str">
        <f t="shared" si="14"/>
        <v>FA</v>
      </c>
      <c r="E99" s="4" t="s">
        <v>129</v>
      </c>
      <c r="F99" s="4" t="s">
        <v>342</v>
      </c>
      <c r="G99" s="4" t="s">
        <v>106</v>
      </c>
      <c r="H99" s="4">
        <v>2024</v>
      </c>
      <c r="I99" s="4">
        <v>17.5</v>
      </c>
      <c r="J99" s="11">
        <f t="shared" si="15"/>
        <v>3290</v>
      </c>
      <c r="K99" s="11" t="s">
        <v>39</v>
      </c>
      <c r="L99" s="4" t="s">
        <v>343</v>
      </c>
      <c r="M99" s="4" t="s">
        <v>344</v>
      </c>
      <c r="N99" s="4" t="s">
        <v>109</v>
      </c>
      <c r="O99" s="4">
        <v>108</v>
      </c>
      <c r="P99" s="4">
        <v>3</v>
      </c>
      <c r="Q99" s="4">
        <f t="shared" si="16"/>
        <v>324</v>
      </c>
      <c r="R99" s="4" t="s">
        <v>123</v>
      </c>
      <c r="S99" s="4" t="s">
        <v>599</v>
      </c>
      <c r="T99" s="4" t="s">
        <v>135</v>
      </c>
      <c r="U99" s="14">
        <v>0</v>
      </c>
      <c r="V99" s="4" t="s">
        <v>124</v>
      </c>
      <c r="W99" s="4">
        <v>2</v>
      </c>
      <c r="X99" s="4" t="s">
        <v>54</v>
      </c>
      <c r="Y99" s="4" t="s">
        <v>47</v>
      </c>
      <c r="Z99" s="4" t="s">
        <v>48</v>
      </c>
      <c r="AA99" s="4">
        <v>7000</v>
      </c>
      <c r="AB99" s="4" t="s">
        <v>62</v>
      </c>
      <c r="AC99" s="4" t="s">
        <v>50</v>
      </c>
      <c r="AD99" s="4" t="s">
        <v>125</v>
      </c>
      <c r="AE99" s="4" t="s">
        <v>126</v>
      </c>
      <c r="AF99" s="4" t="s">
        <v>46</v>
      </c>
      <c r="AG99" s="5" t="s">
        <v>83</v>
      </c>
      <c r="AH99" s="4" t="s">
        <v>54</v>
      </c>
      <c r="AI99" s="4" t="str">
        <f t="shared" si="17"/>
        <v>S21 (188T)</v>
      </c>
      <c r="AJ99" s="4" t="str">
        <f t="shared" si="18"/>
        <v>S21 (Vnish)</v>
      </c>
      <c r="AK99" s="4">
        <v>0</v>
      </c>
      <c r="AL99" s="4">
        <v>1</v>
      </c>
    </row>
    <row r="100" spans="1:38" x14ac:dyDescent="0.25">
      <c r="A100" s="4" t="s">
        <v>346</v>
      </c>
      <c r="B100" s="4">
        <v>195</v>
      </c>
      <c r="C100" s="4" t="s">
        <v>139</v>
      </c>
      <c r="D100" s="4" t="str">
        <f t="shared" si="14"/>
        <v>FA</v>
      </c>
      <c r="E100" s="4" t="s">
        <v>129</v>
      </c>
      <c r="F100" s="4" t="s">
        <v>342</v>
      </c>
      <c r="G100" s="4" t="s">
        <v>106</v>
      </c>
      <c r="H100" s="4">
        <v>2024</v>
      </c>
      <c r="I100" s="4">
        <v>17.5</v>
      </c>
      <c r="J100" s="11">
        <f t="shared" si="15"/>
        <v>3412.5</v>
      </c>
      <c r="K100" s="11" t="s">
        <v>39</v>
      </c>
      <c r="L100" s="4" t="s">
        <v>343</v>
      </c>
      <c r="M100" s="4" t="s">
        <v>344</v>
      </c>
      <c r="N100" s="4" t="s">
        <v>109</v>
      </c>
      <c r="O100" s="4">
        <v>108</v>
      </c>
      <c r="P100" s="4">
        <v>3</v>
      </c>
      <c r="Q100" s="4">
        <f t="shared" si="16"/>
        <v>324</v>
      </c>
      <c r="R100" s="4" t="s">
        <v>123</v>
      </c>
      <c r="S100" s="4" t="s">
        <v>599</v>
      </c>
      <c r="T100" s="4" t="s">
        <v>135</v>
      </c>
      <c r="U100" s="14">
        <v>0</v>
      </c>
      <c r="V100" s="4" t="s">
        <v>124</v>
      </c>
      <c r="W100" s="4">
        <v>2</v>
      </c>
      <c r="X100" s="4" t="s">
        <v>54</v>
      </c>
      <c r="Y100" s="4" t="s">
        <v>47</v>
      </c>
      <c r="Z100" s="4" t="s">
        <v>48</v>
      </c>
      <c r="AA100" s="4">
        <v>7000</v>
      </c>
      <c r="AB100" s="4" t="s">
        <v>62</v>
      </c>
      <c r="AC100" s="4" t="s">
        <v>50</v>
      </c>
      <c r="AD100" s="4" t="s">
        <v>125</v>
      </c>
      <c r="AE100" s="4" t="s">
        <v>126</v>
      </c>
      <c r="AF100" s="4" t="s">
        <v>46</v>
      </c>
      <c r="AG100" s="5" t="s">
        <v>83</v>
      </c>
      <c r="AH100" s="4" t="s">
        <v>54</v>
      </c>
      <c r="AI100" s="4" t="str">
        <f t="shared" si="17"/>
        <v>S21 (195T)</v>
      </c>
      <c r="AJ100" s="4" t="str">
        <f t="shared" si="18"/>
        <v>S21 (Vnish)</v>
      </c>
      <c r="AK100" s="4">
        <v>0</v>
      </c>
      <c r="AL100" s="4">
        <v>1</v>
      </c>
    </row>
    <row r="101" spans="1:38" x14ac:dyDescent="0.25">
      <c r="A101" s="4" t="s">
        <v>347</v>
      </c>
      <c r="B101" s="4">
        <v>239</v>
      </c>
      <c r="C101" s="4" t="s">
        <v>348</v>
      </c>
      <c r="D101" s="4" t="str">
        <f t="shared" si="14"/>
        <v>FB</v>
      </c>
      <c r="E101" s="4" t="s">
        <v>349</v>
      </c>
      <c r="F101" s="4" t="s">
        <v>350</v>
      </c>
      <c r="G101" s="4" t="s">
        <v>106</v>
      </c>
      <c r="H101" s="4">
        <v>2024</v>
      </c>
      <c r="I101" s="4">
        <v>16</v>
      </c>
      <c r="J101" s="11">
        <f t="shared" si="15"/>
        <v>3824</v>
      </c>
      <c r="K101" s="11" t="s">
        <v>351</v>
      </c>
      <c r="L101" s="4" t="s">
        <v>352</v>
      </c>
      <c r="N101" s="4" t="s">
        <v>109</v>
      </c>
      <c r="O101" s="4">
        <v>156</v>
      </c>
      <c r="P101" s="4">
        <v>3</v>
      </c>
      <c r="Q101" s="4">
        <f t="shared" si="16"/>
        <v>468</v>
      </c>
      <c r="R101" s="4" t="s">
        <v>604</v>
      </c>
      <c r="S101" s="4" t="s">
        <v>598</v>
      </c>
      <c r="T101" s="4" t="s">
        <v>353</v>
      </c>
      <c r="U101" s="14">
        <v>0</v>
      </c>
      <c r="V101" s="4" t="s">
        <v>45</v>
      </c>
      <c r="W101" s="4">
        <v>2</v>
      </c>
      <c r="X101" s="4" t="s">
        <v>54</v>
      </c>
      <c r="Y101" s="4" t="s">
        <v>82</v>
      </c>
      <c r="Z101" s="4" t="s">
        <v>96</v>
      </c>
      <c r="AA101" s="4" t="s">
        <v>96</v>
      </c>
      <c r="AB101" s="4" t="s">
        <v>354</v>
      </c>
      <c r="AC101" s="4" t="s">
        <v>332</v>
      </c>
      <c r="AD101" s="4" t="s">
        <v>333</v>
      </c>
      <c r="AE101" s="4" t="s">
        <v>114</v>
      </c>
      <c r="AF101" s="4" t="s">
        <v>54</v>
      </c>
      <c r="AG101" s="5" t="s">
        <v>96</v>
      </c>
      <c r="AH101" s="4" t="s">
        <v>46</v>
      </c>
      <c r="AI101" s="4" t="s">
        <v>590</v>
      </c>
      <c r="AJ101" s="4" t="s">
        <v>594</v>
      </c>
      <c r="AK101" s="4">
        <v>1</v>
      </c>
      <c r="AL101" s="4">
        <v>1</v>
      </c>
    </row>
    <row r="102" spans="1:38" x14ac:dyDescent="0.25">
      <c r="A102" s="4" t="s">
        <v>355</v>
      </c>
      <c r="B102" s="4">
        <v>215</v>
      </c>
      <c r="C102" s="4" t="s">
        <v>356</v>
      </c>
      <c r="D102" s="4" t="str">
        <f t="shared" si="14"/>
        <v>FB</v>
      </c>
      <c r="E102" s="4" t="s">
        <v>349</v>
      </c>
      <c r="F102" s="4" t="s">
        <v>350</v>
      </c>
      <c r="G102" s="4" t="s">
        <v>106</v>
      </c>
      <c r="H102" s="4">
        <v>2024</v>
      </c>
      <c r="I102" s="4">
        <v>16</v>
      </c>
      <c r="J102" s="11">
        <f t="shared" si="15"/>
        <v>3440</v>
      </c>
      <c r="K102" s="11" t="s">
        <v>351</v>
      </c>
      <c r="L102" s="4" t="s">
        <v>352</v>
      </c>
      <c r="N102" s="4" t="s">
        <v>109</v>
      </c>
      <c r="O102" s="4">
        <v>156</v>
      </c>
      <c r="P102" s="4">
        <v>3</v>
      </c>
      <c r="Q102" s="4">
        <f t="shared" si="16"/>
        <v>468</v>
      </c>
      <c r="R102" s="4" t="s">
        <v>604</v>
      </c>
      <c r="S102" s="4" t="s">
        <v>598</v>
      </c>
      <c r="T102" s="4" t="s">
        <v>353</v>
      </c>
      <c r="U102" s="14">
        <v>1</v>
      </c>
      <c r="V102" s="4" t="s">
        <v>357</v>
      </c>
      <c r="W102" s="4">
        <v>3</v>
      </c>
      <c r="X102" s="4" t="s">
        <v>54</v>
      </c>
      <c r="Y102" s="4" t="s">
        <v>82</v>
      </c>
      <c r="Z102" s="4" t="s">
        <v>96</v>
      </c>
      <c r="AA102" s="4" t="s">
        <v>96</v>
      </c>
      <c r="AB102" s="4" t="s">
        <v>354</v>
      </c>
      <c r="AC102" s="4" t="s">
        <v>332</v>
      </c>
      <c r="AD102" s="4" t="s">
        <v>333</v>
      </c>
      <c r="AE102" s="4" t="s">
        <v>114</v>
      </c>
      <c r="AF102" s="4" t="s">
        <v>54</v>
      </c>
      <c r="AG102" s="5" t="s">
        <v>96</v>
      </c>
      <c r="AH102" s="4" t="s">
        <v>46</v>
      </c>
      <c r="AI102" s="4" t="s">
        <v>591</v>
      </c>
      <c r="AJ102" s="4" t="s">
        <v>594</v>
      </c>
      <c r="AK102" s="4">
        <v>1</v>
      </c>
      <c r="AL102" s="4">
        <v>1</v>
      </c>
    </row>
    <row r="103" spans="1:38" x14ac:dyDescent="0.25">
      <c r="A103" s="4" t="s">
        <v>358</v>
      </c>
      <c r="B103" s="4">
        <v>234</v>
      </c>
      <c r="C103" s="4" t="s">
        <v>359</v>
      </c>
      <c r="D103" s="4" t="str">
        <f t="shared" si="14"/>
        <v>FK</v>
      </c>
      <c r="E103" s="4" t="s">
        <v>360</v>
      </c>
      <c r="F103" s="4" t="s">
        <v>361</v>
      </c>
      <c r="G103" s="4" t="s">
        <v>362</v>
      </c>
      <c r="H103" s="28" t="s">
        <v>363</v>
      </c>
      <c r="I103" s="4">
        <v>15</v>
      </c>
      <c r="J103" s="11">
        <f t="shared" si="15"/>
        <v>3510</v>
      </c>
      <c r="K103" s="11" t="s">
        <v>39</v>
      </c>
      <c r="L103" s="4" t="s">
        <v>364</v>
      </c>
      <c r="M103" s="4" t="s">
        <v>365</v>
      </c>
      <c r="N103" s="4" t="s">
        <v>366</v>
      </c>
      <c r="O103" s="4">
        <v>65</v>
      </c>
      <c r="P103" s="4">
        <v>3</v>
      </c>
      <c r="Q103" s="4">
        <f t="shared" si="16"/>
        <v>195</v>
      </c>
      <c r="R103" s="4" t="s">
        <v>123</v>
      </c>
      <c r="S103" s="4" t="s">
        <v>599</v>
      </c>
      <c r="T103" s="4" t="s">
        <v>353</v>
      </c>
      <c r="U103" s="14">
        <v>0</v>
      </c>
      <c r="V103" s="4" t="s">
        <v>124</v>
      </c>
      <c r="W103" s="4">
        <v>2</v>
      </c>
      <c r="X103" s="4" t="s">
        <v>54</v>
      </c>
      <c r="Y103" s="4" t="s">
        <v>47</v>
      </c>
      <c r="Z103" s="4" t="s">
        <v>367</v>
      </c>
      <c r="AA103" s="4">
        <v>6500</v>
      </c>
      <c r="AB103" s="4" t="s">
        <v>368</v>
      </c>
      <c r="AC103" s="4" t="s">
        <v>50</v>
      </c>
      <c r="AD103" s="4" t="s">
        <v>125</v>
      </c>
      <c r="AE103" s="4" t="s">
        <v>126</v>
      </c>
      <c r="AF103" s="4" t="s">
        <v>54</v>
      </c>
      <c r="AG103" s="5" t="s">
        <v>96</v>
      </c>
      <c r="AH103" s="4" t="s">
        <v>54</v>
      </c>
      <c r="AI103" s="4" t="str">
        <f>_xlfn.TEXTBEFORE(C103,"_") &amp; " (" &amp; _xlfn.TEXTAFTER(C103,"_") &amp; ")"</f>
        <v>S21 Pro (234T)</v>
      </c>
      <c r="AJ103" s="4" t="str">
        <f>_xlfn.TEXTBEFORE(C103,"_") &amp; " (Vnish)"</f>
        <v>S21 Pro (Vnish)</v>
      </c>
      <c r="AK103" s="4">
        <v>1</v>
      </c>
      <c r="AL103" s="4">
        <v>1</v>
      </c>
    </row>
    <row r="104" spans="1:38" x14ac:dyDescent="0.25">
      <c r="A104" s="4" t="s">
        <v>369</v>
      </c>
      <c r="B104" s="4">
        <v>220</v>
      </c>
      <c r="C104" s="4" t="s">
        <v>370</v>
      </c>
      <c r="D104" s="4" t="str">
        <f t="shared" si="14"/>
        <v>FK</v>
      </c>
      <c r="E104" s="4" t="s">
        <v>360</v>
      </c>
      <c r="F104" s="4" t="s">
        <v>361</v>
      </c>
      <c r="G104" s="4" t="s">
        <v>362</v>
      </c>
      <c r="H104" s="28" t="s">
        <v>363</v>
      </c>
      <c r="I104" s="4">
        <v>15</v>
      </c>
      <c r="J104" s="11">
        <f t="shared" si="15"/>
        <v>3300</v>
      </c>
      <c r="K104" s="11" t="s">
        <v>39</v>
      </c>
      <c r="L104" s="4" t="s">
        <v>364</v>
      </c>
      <c r="M104" s="4" t="s">
        <v>365</v>
      </c>
      <c r="N104" s="4" t="s">
        <v>366</v>
      </c>
      <c r="O104" s="4">
        <v>65</v>
      </c>
      <c r="P104" s="4">
        <v>3</v>
      </c>
      <c r="Q104" s="4">
        <f t="shared" si="16"/>
        <v>195</v>
      </c>
      <c r="R104" s="4" t="s">
        <v>123</v>
      </c>
      <c r="S104" s="4" t="s">
        <v>599</v>
      </c>
      <c r="T104" s="4" t="s">
        <v>353</v>
      </c>
      <c r="U104" s="14">
        <v>0</v>
      </c>
      <c r="V104" s="4" t="s">
        <v>124</v>
      </c>
      <c r="W104" s="4">
        <v>2</v>
      </c>
      <c r="X104" s="4" t="s">
        <v>54</v>
      </c>
      <c r="Y104" s="4" t="s">
        <v>47</v>
      </c>
      <c r="Z104" s="4" t="s">
        <v>367</v>
      </c>
      <c r="AA104" s="4">
        <v>6500</v>
      </c>
      <c r="AB104" s="4" t="s">
        <v>368</v>
      </c>
      <c r="AC104" s="4" t="s">
        <v>50</v>
      </c>
      <c r="AD104" s="4" t="s">
        <v>125</v>
      </c>
      <c r="AE104" s="4" t="s">
        <v>126</v>
      </c>
      <c r="AF104" s="4" t="s">
        <v>54</v>
      </c>
      <c r="AG104" s="5" t="s">
        <v>96</v>
      </c>
      <c r="AH104" s="4" t="s">
        <v>54</v>
      </c>
      <c r="AI104" s="4" t="str">
        <f>_xlfn.TEXTBEFORE(C104,"_") &amp; " (" &amp; _xlfn.TEXTAFTER(C104,"_") &amp; ")"</f>
        <v>S21 Pro (220T)</v>
      </c>
      <c r="AJ104" s="4" t="str">
        <f>_xlfn.TEXTBEFORE(C104,"_") &amp; " (Vnish)"</f>
        <v>S21 Pro (Vnish)</v>
      </c>
      <c r="AK104" s="4">
        <v>0</v>
      </c>
      <c r="AL104" s="4">
        <v>1</v>
      </c>
    </row>
    <row r="105" spans="1:38" x14ac:dyDescent="0.25">
      <c r="A105" s="4" t="s">
        <v>371</v>
      </c>
      <c r="B105" s="4">
        <v>245</v>
      </c>
      <c r="C105" s="4" t="s">
        <v>372</v>
      </c>
      <c r="D105" s="4" t="str">
        <f t="shared" si="14"/>
        <v>FK</v>
      </c>
      <c r="E105" s="4" t="s">
        <v>360</v>
      </c>
      <c r="F105" s="4" t="s">
        <v>361</v>
      </c>
      <c r="G105" s="4" t="s">
        <v>362</v>
      </c>
      <c r="H105" s="28" t="s">
        <v>363</v>
      </c>
      <c r="I105" s="4">
        <v>15</v>
      </c>
      <c r="J105" s="11">
        <f t="shared" si="15"/>
        <v>3675</v>
      </c>
      <c r="K105" s="11" t="s">
        <v>39</v>
      </c>
      <c r="L105" s="4" t="s">
        <v>364</v>
      </c>
      <c r="M105" s="4" t="s">
        <v>365</v>
      </c>
      <c r="N105" s="4" t="s">
        <v>366</v>
      </c>
      <c r="O105" s="4">
        <v>65</v>
      </c>
      <c r="P105" s="4">
        <v>3</v>
      </c>
      <c r="Q105" s="4">
        <f t="shared" si="16"/>
        <v>195</v>
      </c>
      <c r="R105" s="4" t="s">
        <v>123</v>
      </c>
      <c r="S105" s="4" t="s">
        <v>599</v>
      </c>
      <c r="T105" s="4" t="s">
        <v>353</v>
      </c>
      <c r="U105" s="14">
        <v>0</v>
      </c>
      <c r="V105" s="4" t="s">
        <v>124</v>
      </c>
      <c r="W105" s="4">
        <v>2</v>
      </c>
      <c r="X105" s="4" t="s">
        <v>54</v>
      </c>
      <c r="Y105" s="4" t="s">
        <v>47</v>
      </c>
      <c r="Z105" s="4" t="s">
        <v>367</v>
      </c>
      <c r="AA105" s="4">
        <v>6500</v>
      </c>
      <c r="AB105" s="4" t="s">
        <v>368</v>
      </c>
      <c r="AC105" s="4" t="s">
        <v>50</v>
      </c>
      <c r="AD105" s="4" t="s">
        <v>125</v>
      </c>
      <c r="AE105" s="4" t="s">
        <v>126</v>
      </c>
      <c r="AF105" s="4" t="s">
        <v>54</v>
      </c>
      <c r="AG105" s="5" t="s">
        <v>96</v>
      </c>
      <c r="AH105" s="4" t="s">
        <v>54</v>
      </c>
      <c r="AI105" s="4" t="str">
        <f>_xlfn.TEXTBEFORE(C105,"_") &amp; " (" &amp; _xlfn.TEXTAFTER(C105,"_") &amp; ")"</f>
        <v>S21 Pro (245T)</v>
      </c>
      <c r="AJ105" s="4" t="str">
        <f>_xlfn.TEXTBEFORE(C105,"_") &amp; " (Vnish)"</f>
        <v>S21 Pro (Vnish)</v>
      </c>
      <c r="AK105" s="4">
        <v>0</v>
      </c>
      <c r="AL105" s="4">
        <v>1</v>
      </c>
    </row>
    <row r="106" spans="1:38" x14ac:dyDescent="0.25">
      <c r="A106" s="4" t="s">
        <v>373</v>
      </c>
      <c r="B106" s="4">
        <v>251</v>
      </c>
      <c r="C106" s="4" t="s">
        <v>374</v>
      </c>
      <c r="D106" s="4" t="str">
        <f t="shared" si="14"/>
        <v>FL</v>
      </c>
      <c r="E106" s="4" t="s">
        <v>375</v>
      </c>
      <c r="F106" s="4" t="s">
        <v>376</v>
      </c>
      <c r="G106" s="4" t="s">
        <v>106</v>
      </c>
      <c r="H106" s="4">
        <v>2024</v>
      </c>
      <c r="I106" s="4">
        <v>22</v>
      </c>
      <c r="J106" s="11">
        <f t="shared" si="15"/>
        <v>5522</v>
      </c>
      <c r="K106" s="11" t="s">
        <v>107</v>
      </c>
      <c r="L106" s="4" t="s">
        <v>115</v>
      </c>
      <c r="N106" s="4" t="s">
        <v>93</v>
      </c>
      <c r="P106" s="4">
        <v>3</v>
      </c>
      <c r="R106" s="4" t="s">
        <v>603</v>
      </c>
      <c r="S106" s="4" t="s">
        <v>115</v>
      </c>
      <c r="T106" s="4" t="s">
        <v>110</v>
      </c>
      <c r="U106" s="14">
        <v>0</v>
      </c>
      <c r="V106" s="4" t="s">
        <v>45</v>
      </c>
      <c r="W106" s="4">
        <v>2</v>
      </c>
      <c r="X106" s="4" t="s">
        <v>54</v>
      </c>
      <c r="Y106" s="4" t="s">
        <v>111</v>
      </c>
      <c r="Z106" s="4" t="s">
        <v>96</v>
      </c>
      <c r="AA106" s="4" t="s">
        <v>96</v>
      </c>
      <c r="AB106" s="4" t="s">
        <v>112</v>
      </c>
      <c r="AC106" s="4" t="s">
        <v>112</v>
      </c>
      <c r="AD106" s="4" t="s">
        <v>113</v>
      </c>
      <c r="AE106" s="4" t="s">
        <v>114</v>
      </c>
      <c r="AF106" s="4" t="s">
        <v>54</v>
      </c>
      <c r="AG106" s="5" t="s">
        <v>96</v>
      </c>
      <c r="AH106" s="4" t="s">
        <v>115</v>
      </c>
      <c r="AK106" s="4">
        <v>1</v>
      </c>
      <c r="AL106" s="4">
        <v>0</v>
      </c>
    </row>
    <row r="107" spans="1:38" x14ac:dyDescent="0.25">
      <c r="A107" s="4" t="s">
        <v>377</v>
      </c>
      <c r="B107" s="4">
        <v>240</v>
      </c>
      <c r="C107" s="4" t="s">
        <v>378</v>
      </c>
      <c r="D107" s="4" t="str">
        <f t="shared" si="14"/>
        <v>FL</v>
      </c>
      <c r="E107" s="4" t="s">
        <v>375</v>
      </c>
      <c r="F107" s="4" t="s">
        <v>376</v>
      </c>
      <c r="G107" s="4" t="s">
        <v>106</v>
      </c>
      <c r="H107" s="4">
        <v>2024</v>
      </c>
      <c r="I107" s="4">
        <v>22</v>
      </c>
      <c r="J107" s="4">
        <v>5280</v>
      </c>
      <c r="K107" s="4" t="s">
        <v>107</v>
      </c>
      <c r="L107" s="4" t="s">
        <v>115</v>
      </c>
      <c r="N107" s="4" t="s">
        <v>93</v>
      </c>
      <c r="P107" s="4">
        <v>3</v>
      </c>
      <c r="R107" s="4" t="s">
        <v>603</v>
      </c>
      <c r="S107" s="4" t="s">
        <v>115</v>
      </c>
      <c r="T107" s="4" t="s">
        <v>110</v>
      </c>
      <c r="U107" s="14">
        <v>0</v>
      </c>
      <c r="V107" s="4" t="s">
        <v>45</v>
      </c>
      <c r="W107" s="4">
        <v>2</v>
      </c>
      <c r="X107" s="4" t="s">
        <v>54</v>
      </c>
      <c r="Y107" s="4" t="s">
        <v>111</v>
      </c>
      <c r="Z107" s="4" t="s">
        <v>96</v>
      </c>
      <c r="AA107" s="4" t="s">
        <v>96</v>
      </c>
      <c r="AB107" s="4" t="s">
        <v>112</v>
      </c>
      <c r="AC107" s="4" t="s">
        <v>112</v>
      </c>
      <c r="AD107" s="4" t="s">
        <v>113</v>
      </c>
      <c r="AE107" s="4" t="s">
        <v>114</v>
      </c>
      <c r="AF107" s="4" t="s">
        <v>54</v>
      </c>
      <c r="AG107" s="5" t="s">
        <v>96</v>
      </c>
      <c r="AH107" s="4" t="s">
        <v>115</v>
      </c>
      <c r="AK107" s="4">
        <v>0</v>
      </c>
      <c r="AL107" s="4">
        <v>0</v>
      </c>
    </row>
    <row r="108" spans="1:38" x14ac:dyDescent="0.25">
      <c r="A108" s="4" t="s">
        <v>379</v>
      </c>
      <c r="B108" s="4">
        <v>270</v>
      </c>
      <c r="C108" s="4" t="s">
        <v>380</v>
      </c>
      <c r="D108" s="4" t="s">
        <v>381</v>
      </c>
      <c r="E108" s="4" t="s">
        <v>382</v>
      </c>
      <c r="F108" s="4" t="s">
        <v>383</v>
      </c>
      <c r="G108" s="4" t="s">
        <v>362</v>
      </c>
      <c r="H108" s="4" t="s">
        <v>363</v>
      </c>
      <c r="I108" s="4">
        <v>13.5</v>
      </c>
      <c r="J108" s="11">
        <f>B108*I108</f>
        <v>3645</v>
      </c>
      <c r="K108" s="11" t="s">
        <v>39</v>
      </c>
      <c r="L108" s="4" t="s">
        <v>384</v>
      </c>
      <c r="M108" s="4" t="s">
        <v>385</v>
      </c>
      <c r="N108" s="4" t="s">
        <v>366</v>
      </c>
      <c r="O108" s="4">
        <v>91</v>
      </c>
      <c r="P108" s="4">
        <v>3</v>
      </c>
      <c r="Q108" s="4">
        <f>O108*P108</f>
        <v>273</v>
      </c>
      <c r="R108" s="4" t="s">
        <v>123</v>
      </c>
      <c r="S108" s="4" t="s">
        <v>599</v>
      </c>
      <c r="T108" s="4" t="s">
        <v>353</v>
      </c>
      <c r="U108" s="14">
        <v>0</v>
      </c>
      <c r="V108" s="4" t="s">
        <v>124</v>
      </c>
      <c r="W108" s="4">
        <v>2</v>
      </c>
      <c r="X108" s="4" t="s">
        <v>54</v>
      </c>
      <c r="Y108" s="4" t="s">
        <v>47</v>
      </c>
      <c r="Z108" s="4" t="s">
        <v>367</v>
      </c>
      <c r="AA108" s="4">
        <v>6500</v>
      </c>
      <c r="AB108" s="4" t="s">
        <v>368</v>
      </c>
      <c r="AC108" s="4" t="s">
        <v>50</v>
      </c>
      <c r="AD108" s="4" t="s">
        <v>125</v>
      </c>
      <c r="AE108" s="4" t="s">
        <v>126</v>
      </c>
      <c r="AF108" s="4" t="s">
        <v>115</v>
      </c>
      <c r="AG108" s="4" t="s">
        <v>115</v>
      </c>
      <c r="AH108" s="4" t="s">
        <v>54</v>
      </c>
      <c r="AI108" s="4" t="str">
        <f>_xlfn.TEXTBEFORE(C108,"_") &amp; " (" &amp; _xlfn.TEXTAFTER(C108,"_") &amp; ")"</f>
        <v>S21 XP (270T)</v>
      </c>
      <c r="AJ108" s="4" t="str">
        <f>_xlfn.TEXTBEFORE(C108,"_") &amp; " (Vnish)"</f>
        <v>S21 XP (Vnish)</v>
      </c>
      <c r="AK108" s="4">
        <v>1</v>
      </c>
      <c r="AL108" s="4">
        <v>1</v>
      </c>
    </row>
    <row r="109" spans="1:38" x14ac:dyDescent="0.25">
      <c r="A109" s="4" t="s">
        <v>386</v>
      </c>
      <c r="B109" s="4">
        <v>586</v>
      </c>
      <c r="C109" s="4" t="s">
        <v>387</v>
      </c>
      <c r="D109" s="4" t="s">
        <v>388</v>
      </c>
      <c r="E109" s="4" t="s">
        <v>389</v>
      </c>
      <c r="F109" s="4" t="s">
        <v>390</v>
      </c>
      <c r="G109" s="4" t="s">
        <v>391</v>
      </c>
      <c r="H109" s="4">
        <v>2025</v>
      </c>
      <c r="I109" s="4">
        <v>19</v>
      </c>
      <c r="J109" s="11">
        <f>B109*I109</f>
        <v>11134</v>
      </c>
      <c r="K109" s="11" t="s">
        <v>107</v>
      </c>
      <c r="L109" s="4" t="s">
        <v>115</v>
      </c>
      <c r="N109" s="4" t="s">
        <v>93</v>
      </c>
      <c r="P109" s="4">
        <v>6</v>
      </c>
      <c r="R109" s="4" t="s">
        <v>603</v>
      </c>
      <c r="S109" s="4" t="s">
        <v>115</v>
      </c>
      <c r="T109" s="4" t="s">
        <v>392</v>
      </c>
      <c r="U109" s="14">
        <v>0</v>
      </c>
      <c r="V109" s="4" t="s">
        <v>45</v>
      </c>
      <c r="W109" s="4" t="s">
        <v>393</v>
      </c>
      <c r="X109" s="4" t="s">
        <v>54</v>
      </c>
      <c r="Y109" s="4" t="s">
        <v>111</v>
      </c>
      <c r="Z109" s="4" t="s">
        <v>96</v>
      </c>
      <c r="AA109" s="4" t="s">
        <v>96</v>
      </c>
      <c r="AB109" s="4" t="s">
        <v>394</v>
      </c>
      <c r="AC109" s="4" t="s">
        <v>395</v>
      </c>
      <c r="AD109" s="4" t="s">
        <v>333</v>
      </c>
      <c r="AE109" s="4" t="s">
        <v>114</v>
      </c>
      <c r="AF109" s="4" t="s">
        <v>396</v>
      </c>
      <c r="AG109" s="5" t="s">
        <v>54</v>
      </c>
      <c r="AH109" s="4" t="s">
        <v>54</v>
      </c>
      <c r="AK109" s="4">
        <v>1</v>
      </c>
      <c r="AL109" s="4">
        <v>0</v>
      </c>
    </row>
    <row r="110" spans="1:38" x14ac:dyDescent="0.25">
      <c r="A110" s="4" t="s">
        <v>397</v>
      </c>
      <c r="B110" s="4">
        <v>300</v>
      </c>
      <c r="C110" s="4" t="s">
        <v>398</v>
      </c>
      <c r="D110" s="4" t="s">
        <v>399</v>
      </c>
      <c r="E110" s="4" t="s">
        <v>400</v>
      </c>
      <c r="F110" s="4" t="s">
        <v>401</v>
      </c>
      <c r="G110" s="4" t="s">
        <v>362</v>
      </c>
      <c r="H110" s="4" t="s">
        <v>363</v>
      </c>
      <c r="I110" s="4">
        <v>13.5</v>
      </c>
      <c r="J110" s="11">
        <f>B110*I110</f>
        <v>4050</v>
      </c>
      <c r="K110" s="11" t="s">
        <v>351</v>
      </c>
      <c r="L110" s="4" t="s">
        <v>402</v>
      </c>
      <c r="M110" s="4" t="s">
        <v>403</v>
      </c>
      <c r="N110" s="4" t="s">
        <v>366</v>
      </c>
      <c r="O110" s="4">
        <v>91</v>
      </c>
      <c r="P110" s="4">
        <v>3</v>
      </c>
      <c r="Q110" s="4">
        <f t="shared" ref="Q110:Q116" si="19">O110*P110</f>
        <v>273</v>
      </c>
      <c r="R110" s="4" t="s">
        <v>604</v>
      </c>
      <c r="S110" s="4" t="s">
        <v>598</v>
      </c>
      <c r="T110" s="4" t="s">
        <v>353</v>
      </c>
      <c r="U110" s="14">
        <v>0</v>
      </c>
      <c r="V110" s="4" t="s">
        <v>45</v>
      </c>
      <c r="W110" s="4">
        <v>2</v>
      </c>
      <c r="X110" s="4" t="s">
        <v>54</v>
      </c>
      <c r="Y110" s="4" t="s">
        <v>82</v>
      </c>
      <c r="Z110" s="4" t="s">
        <v>96</v>
      </c>
      <c r="AA110" s="4" t="s">
        <v>96</v>
      </c>
      <c r="AB110" s="4" t="s">
        <v>354</v>
      </c>
      <c r="AC110" s="4" t="s">
        <v>332</v>
      </c>
      <c r="AD110" s="4" t="s">
        <v>333</v>
      </c>
      <c r="AE110" s="4" t="s">
        <v>114</v>
      </c>
      <c r="AF110" s="4" t="s">
        <v>54</v>
      </c>
      <c r="AG110" s="5" t="s">
        <v>96</v>
      </c>
      <c r="AH110" s="4" t="s">
        <v>46</v>
      </c>
      <c r="AI110" s="4" t="s">
        <v>592</v>
      </c>
      <c r="AJ110" s="4" t="s">
        <v>593</v>
      </c>
      <c r="AK110" s="4">
        <v>1</v>
      </c>
      <c r="AL110" s="4">
        <v>1</v>
      </c>
    </row>
    <row r="111" spans="1:38" x14ac:dyDescent="0.25">
      <c r="A111" s="4" t="s">
        <v>404</v>
      </c>
      <c r="B111" s="4">
        <v>216</v>
      </c>
      <c r="C111" s="4" t="s">
        <v>405</v>
      </c>
      <c r="D111" s="4" t="s">
        <v>406</v>
      </c>
      <c r="E111" s="4" t="s">
        <v>407</v>
      </c>
      <c r="F111" s="4" t="s">
        <v>408</v>
      </c>
      <c r="G111" s="4" t="s">
        <v>391</v>
      </c>
      <c r="H111" s="4">
        <v>2025</v>
      </c>
      <c r="I111" s="4">
        <v>16.5</v>
      </c>
      <c r="J111" s="11">
        <f t="shared" ref="J111:J116" si="20">I111*B111</f>
        <v>3564</v>
      </c>
      <c r="K111" s="11" t="s">
        <v>39</v>
      </c>
      <c r="L111" s="4" t="s">
        <v>409</v>
      </c>
      <c r="N111" s="4" t="s">
        <v>366</v>
      </c>
      <c r="O111" s="4">
        <v>55</v>
      </c>
      <c r="P111" s="4">
        <v>3</v>
      </c>
      <c r="Q111" s="4">
        <f t="shared" si="19"/>
        <v>165</v>
      </c>
      <c r="R111" s="4" t="s">
        <v>123</v>
      </c>
      <c r="S111" s="4" t="s">
        <v>599</v>
      </c>
      <c r="T111" s="4" t="s">
        <v>353</v>
      </c>
      <c r="U111" s="14">
        <v>0</v>
      </c>
      <c r="V111" s="4" t="s">
        <v>45</v>
      </c>
      <c r="W111" s="4">
        <v>2</v>
      </c>
      <c r="X111" s="4" t="s">
        <v>54</v>
      </c>
      <c r="Y111" s="4" t="s">
        <v>410</v>
      </c>
      <c r="Z111" s="4" t="s">
        <v>367</v>
      </c>
      <c r="AA111" s="4">
        <v>6500</v>
      </c>
      <c r="AB111" s="4" t="s">
        <v>368</v>
      </c>
      <c r="AC111" s="4" t="s">
        <v>50</v>
      </c>
      <c r="AD111" s="4" t="s">
        <v>125</v>
      </c>
      <c r="AE111" s="4" t="s">
        <v>126</v>
      </c>
      <c r="AF111" s="4" t="s">
        <v>115</v>
      </c>
      <c r="AG111" s="4" t="s">
        <v>115</v>
      </c>
      <c r="AH111" s="4" t="s">
        <v>115</v>
      </c>
      <c r="AI111" s="4" t="str">
        <f>_xlfn.TEXTBEFORE(C111,"_") &amp; " (" &amp; _xlfn.TEXTAFTER(C111,"_") &amp; ")"</f>
        <v>S21+ (216T)</v>
      </c>
      <c r="AJ111" s="4" t="str">
        <f>_xlfn.TEXTBEFORE(C111,"_") &amp; " (Vnish)"</f>
        <v>S21+ (Vnish)</v>
      </c>
      <c r="AK111" s="4">
        <v>1</v>
      </c>
      <c r="AL111" s="4">
        <v>0</v>
      </c>
    </row>
    <row r="112" spans="1:38" x14ac:dyDescent="0.25">
      <c r="A112" s="4" t="s">
        <v>411</v>
      </c>
      <c r="B112" s="4">
        <v>225</v>
      </c>
      <c r="C112" s="4" t="s">
        <v>412</v>
      </c>
      <c r="D112" s="4" t="s">
        <v>406</v>
      </c>
      <c r="E112" s="4" t="s">
        <v>407</v>
      </c>
      <c r="F112" s="4" t="s">
        <v>408</v>
      </c>
      <c r="G112" s="4" t="s">
        <v>391</v>
      </c>
      <c r="H112" s="4">
        <v>2025</v>
      </c>
      <c r="I112" s="4">
        <v>16.5</v>
      </c>
      <c r="J112" s="11">
        <f t="shared" si="20"/>
        <v>3712.5</v>
      </c>
      <c r="K112" s="11" t="s">
        <v>39</v>
      </c>
      <c r="L112" s="4" t="s">
        <v>409</v>
      </c>
      <c r="N112" s="4" t="s">
        <v>366</v>
      </c>
      <c r="O112" s="4">
        <v>55</v>
      </c>
      <c r="P112" s="4">
        <v>3</v>
      </c>
      <c r="Q112" s="4">
        <f t="shared" si="19"/>
        <v>165</v>
      </c>
      <c r="R112" s="4" t="s">
        <v>123</v>
      </c>
      <c r="S112" s="4" t="s">
        <v>599</v>
      </c>
      <c r="T112" s="4" t="s">
        <v>353</v>
      </c>
      <c r="U112" s="14">
        <v>0</v>
      </c>
      <c r="V112" s="4" t="s">
        <v>45</v>
      </c>
      <c r="W112" s="4">
        <v>2</v>
      </c>
      <c r="X112" s="4" t="s">
        <v>54</v>
      </c>
      <c r="Y112" s="4" t="s">
        <v>410</v>
      </c>
      <c r="Z112" s="4" t="s">
        <v>367</v>
      </c>
      <c r="AA112" s="4">
        <v>6500</v>
      </c>
      <c r="AB112" s="4" t="s">
        <v>368</v>
      </c>
      <c r="AC112" s="4" t="s">
        <v>50</v>
      </c>
      <c r="AD112" s="4" t="s">
        <v>125</v>
      </c>
      <c r="AE112" s="4" t="s">
        <v>126</v>
      </c>
      <c r="AF112" s="4" t="s">
        <v>115</v>
      </c>
      <c r="AG112" s="4" t="s">
        <v>115</v>
      </c>
      <c r="AH112" s="4" t="s">
        <v>115</v>
      </c>
      <c r="AI112" s="4" t="str">
        <f>_xlfn.TEXTBEFORE(C112,"_") &amp; " (" &amp; _xlfn.TEXTAFTER(C112,"_") &amp; ")"</f>
        <v>S21+ (225T)</v>
      </c>
      <c r="AJ112" s="4" t="str">
        <f>_xlfn.TEXTBEFORE(C112,"_") &amp; " (Vnish)"</f>
        <v>S21+ (Vnish)</v>
      </c>
      <c r="AK112" s="4">
        <v>0</v>
      </c>
      <c r="AL112" s="4">
        <v>0</v>
      </c>
    </row>
    <row r="113" spans="1:38" x14ac:dyDescent="0.25">
      <c r="A113" s="4" t="s">
        <v>413</v>
      </c>
      <c r="B113" s="4">
        <v>235</v>
      </c>
      <c r="C113" s="4" t="s">
        <v>414</v>
      </c>
      <c r="D113" s="4" t="s">
        <v>406</v>
      </c>
      <c r="E113" s="4" t="s">
        <v>407</v>
      </c>
      <c r="F113" s="4" t="s">
        <v>408</v>
      </c>
      <c r="G113" s="4" t="s">
        <v>391</v>
      </c>
      <c r="H113" s="4">
        <v>2025</v>
      </c>
      <c r="I113" s="4">
        <v>16.5</v>
      </c>
      <c r="J113" s="11">
        <f t="shared" si="20"/>
        <v>3877.5</v>
      </c>
      <c r="K113" s="11" t="s">
        <v>39</v>
      </c>
      <c r="L113" s="4" t="s">
        <v>409</v>
      </c>
      <c r="N113" s="4" t="s">
        <v>366</v>
      </c>
      <c r="O113" s="4">
        <v>55</v>
      </c>
      <c r="P113" s="4">
        <v>3</v>
      </c>
      <c r="Q113" s="4">
        <f t="shared" si="19"/>
        <v>165</v>
      </c>
      <c r="R113" s="4" t="s">
        <v>123</v>
      </c>
      <c r="S113" s="4" t="s">
        <v>599</v>
      </c>
      <c r="T113" s="4" t="s">
        <v>353</v>
      </c>
      <c r="U113" s="14">
        <v>0</v>
      </c>
      <c r="V113" s="4" t="s">
        <v>45</v>
      </c>
      <c r="W113" s="4">
        <v>2</v>
      </c>
      <c r="X113" s="4" t="s">
        <v>54</v>
      </c>
      <c r="Y113" s="4" t="s">
        <v>410</v>
      </c>
      <c r="Z113" s="4" t="s">
        <v>367</v>
      </c>
      <c r="AA113" s="4">
        <v>6500</v>
      </c>
      <c r="AB113" s="4" t="s">
        <v>368</v>
      </c>
      <c r="AC113" s="4" t="s">
        <v>50</v>
      </c>
      <c r="AD113" s="4" t="s">
        <v>125</v>
      </c>
      <c r="AE113" s="4" t="s">
        <v>126</v>
      </c>
      <c r="AF113" s="4" t="s">
        <v>115</v>
      </c>
      <c r="AG113" s="4" t="s">
        <v>115</v>
      </c>
      <c r="AH113" s="4" t="s">
        <v>115</v>
      </c>
      <c r="AI113" s="4" t="str">
        <f>_xlfn.TEXTBEFORE(C113,"_") &amp; " (" &amp; _xlfn.TEXTAFTER(C113,"_") &amp; ")"</f>
        <v>S21+ (235T)</v>
      </c>
      <c r="AJ113" s="4" t="str">
        <f>_xlfn.TEXTBEFORE(C113,"_") &amp; " (Vnish)"</f>
        <v>S21+ (Vnish)</v>
      </c>
      <c r="AK113" s="4">
        <v>0</v>
      </c>
      <c r="AL113" s="4">
        <v>0</v>
      </c>
    </row>
    <row r="114" spans="1:38" x14ac:dyDescent="0.25">
      <c r="A114" s="4" t="s">
        <v>415</v>
      </c>
      <c r="B114" s="4">
        <v>319</v>
      </c>
      <c r="C114" s="4" t="s">
        <v>416</v>
      </c>
      <c r="D114" s="4" t="s">
        <v>417</v>
      </c>
      <c r="E114" s="4" t="s">
        <v>418</v>
      </c>
      <c r="F114" s="4" t="s">
        <v>419</v>
      </c>
      <c r="G114" s="4" t="s">
        <v>391</v>
      </c>
      <c r="H114" s="4">
        <v>2025</v>
      </c>
      <c r="I114" s="4">
        <v>15</v>
      </c>
      <c r="J114" s="4">
        <f t="shared" si="20"/>
        <v>4785</v>
      </c>
      <c r="K114" s="4" t="s">
        <v>107</v>
      </c>
      <c r="L114" s="4" t="s">
        <v>115</v>
      </c>
      <c r="N114" s="4" t="s">
        <v>366</v>
      </c>
      <c r="O114" s="4">
        <v>95</v>
      </c>
      <c r="P114" s="4">
        <v>3</v>
      </c>
      <c r="Q114" s="4">
        <f t="shared" si="19"/>
        <v>285</v>
      </c>
      <c r="R114" s="4" t="s">
        <v>603</v>
      </c>
      <c r="S114" s="4" t="s">
        <v>115</v>
      </c>
      <c r="T114" s="4" t="s">
        <v>110</v>
      </c>
      <c r="U114" s="14">
        <v>0</v>
      </c>
      <c r="V114" s="4" t="s">
        <v>45</v>
      </c>
      <c r="W114" s="4">
        <v>2</v>
      </c>
      <c r="X114" s="4" t="s">
        <v>96</v>
      </c>
      <c r="Y114" s="4" t="s">
        <v>111</v>
      </c>
      <c r="Z114" s="4" t="s">
        <v>96</v>
      </c>
      <c r="AA114" s="4" t="s">
        <v>96</v>
      </c>
      <c r="AB114" s="4" t="s">
        <v>112</v>
      </c>
      <c r="AC114" s="4" t="s">
        <v>112</v>
      </c>
      <c r="AD114" s="4" t="s">
        <v>113</v>
      </c>
      <c r="AE114" s="4" t="s">
        <v>114</v>
      </c>
      <c r="AF114" s="4" t="s">
        <v>54</v>
      </c>
      <c r="AG114" s="5" t="s">
        <v>96</v>
      </c>
      <c r="AH114" s="4" t="s">
        <v>115</v>
      </c>
      <c r="AK114" s="4">
        <v>0</v>
      </c>
      <c r="AL114" s="4">
        <v>0</v>
      </c>
    </row>
    <row r="115" spans="1:38" x14ac:dyDescent="0.25">
      <c r="A115" s="4" t="s">
        <v>420</v>
      </c>
      <c r="B115" s="4">
        <v>338</v>
      </c>
      <c r="C115" s="4" t="s">
        <v>421</v>
      </c>
      <c r="D115" s="4" t="s">
        <v>417</v>
      </c>
      <c r="E115" s="4" t="s">
        <v>418</v>
      </c>
      <c r="F115" s="4" t="s">
        <v>419</v>
      </c>
      <c r="G115" s="4" t="s">
        <v>391</v>
      </c>
      <c r="H115" s="4">
        <v>2025</v>
      </c>
      <c r="I115" s="4">
        <v>15</v>
      </c>
      <c r="J115" s="4">
        <f t="shared" si="20"/>
        <v>5070</v>
      </c>
      <c r="K115" s="4" t="s">
        <v>107</v>
      </c>
      <c r="L115" s="4" t="s">
        <v>115</v>
      </c>
      <c r="N115" s="4" t="s">
        <v>366</v>
      </c>
      <c r="O115" s="4">
        <v>95</v>
      </c>
      <c r="P115" s="4">
        <v>3</v>
      </c>
      <c r="Q115" s="4">
        <f t="shared" si="19"/>
        <v>285</v>
      </c>
      <c r="R115" s="4" t="s">
        <v>603</v>
      </c>
      <c r="S115" s="4" t="s">
        <v>115</v>
      </c>
      <c r="T115" s="4" t="s">
        <v>110</v>
      </c>
      <c r="U115" s="14">
        <v>0</v>
      </c>
      <c r="V115" s="4" t="s">
        <v>45</v>
      </c>
      <c r="W115" s="4">
        <v>2</v>
      </c>
      <c r="X115" s="4" t="s">
        <v>96</v>
      </c>
      <c r="Y115" s="4" t="s">
        <v>111</v>
      </c>
      <c r="Z115" s="4" t="s">
        <v>96</v>
      </c>
      <c r="AA115" s="4" t="s">
        <v>96</v>
      </c>
      <c r="AB115" s="4" t="s">
        <v>112</v>
      </c>
      <c r="AC115" s="4" t="s">
        <v>112</v>
      </c>
      <c r="AD115" s="4" t="s">
        <v>113</v>
      </c>
      <c r="AE115" s="4" t="s">
        <v>114</v>
      </c>
      <c r="AF115" s="4" t="s">
        <v>54</v>
      </c>
      <c r="AG115" s="5" t="s">
        <v>96</v>
      </c>
      <c r="AH115" s="4" t="s">
        <v>115</v>
      </c>
      <c r="AK115" s="4">
        <v>0</v>
      </c>
      <c r="AL115" s="4">
        <v>0</v>
      </c>
    </row>
    <row r="116" spans="1:38" x14ac:dyDescent="0.25">
      <c r="A116" s="4" t="s">
        <v>422</v>
      </c>
      <c r="B116" s="4">
        <v>358</v>
      </c>
      <c r="C116" s="4" t="s">
        <v>423</v>
      </c>
      <c r="D116" s="4" t="s">
        <v>417</v>
      </c>
      <c r="E116" s="4" t="s">
        <v>418</v>
      </c>
      <c r="F116" s="4" t="s">
        <v>419</v>
      </c>
      <c r="G116" s="4" t="s">
        <v>391</v>
      </c>
      <c r="H116" s="4">
        <v>2025</v>
      </c>
      <c r="I116" s="4">
        <v>15</v>
      </c>
      <c r="J116" s="4">
        <f t="shared" si="20"/>
        <v>5370</v>
      </c>
      <c r="K116" s="4" t="s">
        <v>107</v>
      </c>
      <c r="L116" s="4" t="s">
        <v>115</v>
      </c>
      <c r="N116" s="4" t="s">
        <v>366</v>
      </c>
      <c r="O116" s="4">
        <v>95</v>
      </c>
      <c r="P116" s="4">
        <v>3</v>
      </c>
      <c r="Q116" s="4">
        <f t="shared" si="19"/>
        <v>285</v>
      </c>
      <c r="R116" s="4" t="s">
        <v>603</v>
      </c>
      <c r="S116" s="4" t="s">
        <v>115</v>
      </c>
      <c r="T116" s="4" t="s">
        <v>110</v>
      </c>
      <c r="U116" s="14">
        <v>0</v>
      </c>
      <c r="V116" s="4" t="s">
        <v>45</v>
      </c>
      <c r="W116" s="4">
        <v>2</v>
      </c>
      <c r="X116" s="4" t="s">
        <v>96</v>
      </c>
      <c r="Y116" s="4" t="s">
        <v>111</v>
      </c>
      <c r="Z116" s="4" t="s">
        <v>96</v>
      </c>
      <c r="AA116" s="4" t="s">
        <v>96</v>
      </c>
      <c r="AB116" s="4" t="s">
        <v>112</v>
      </c>
      <c r="AC116" s="4" t="s">
        <v>112</v>
      </c>
      <c r="AD116" s="4" t="s">
        <v>113</v>
      </c>
      <c r="AE116" s="4" t="s">
        <v>114</v>
      </c>
      <c r="AF116" s="4" t="s">
        <v>54</v>
      </c>
      <c r="AG116" s="5" t="s">
        <v>96</v>
      </c>
      <c r="AH116" s="4" t="s">
        <v>115</v>
      </c>
      <c r="AK116" s="4">
        <v>1</v>
      </c>
      <c r="AL116" s="4">
        <v>0</v>
      </c>
    </row>
    <row r="117" spans="1:38" x14ac:dyDescent="0.25">
      <c r="A117" s="4" t="s">
        <v>424</v>
      </c>
      <c r="B117" s="4">
        <v>395</v>
      </c>
      <c r="C117" s="4" t="s">
        <v>425</v>
      </c>
      <c r="D117" s="4" t="s">
        <v>417</v>
      </c>
      <c r="E117" s="4" t="s">
        <v>418</v>
      </c>
      <c r="F117" s="4" t="s">
        <v>419</v>
      </c>
      <c r="G117" s="4" t="s">
        <v>391</v>
      </c>
      <c r="H117" s="4">
        <v>2025</v>
      </c>
      <c r="I117" s="4">
        <v>15</v>
      </c>
      <c r="J117" s="4">
        <f t="shared" ref="J117:J125" si="21">B117*I117</f>
        <v>5925</v>
      </c>
      <c r="K117" s="4" t="s">
        <v>107</v>
      </c>
      <c r="L117" s="4" t="s">
        <v>115</v>
      </c>
      <c r="N117" s="4" t="s">
        <v>366</v>
      </c>
      <c r="O117" s="4">
        <v>95</v>
      </c>
      <c r="P117" s="4">
        <v>3</v>
      </c>
      <c r="Q117" s="4">
        <v>285</v>
      </c>
      <c r="R117" s="4" t="s">
        <v>603</v>
      </c>
      <c r="S117" s="4" t="s">
        <v>115</v>
      </c>
      <c r="T117" s="4" t="s">
        <v>110</v>
      </c>
      <c r="U117" s="14">
        <v>0</v>
      </c>
      <c r="V117" s="4" t="s">
        <v>45</v>
      </c>
      <c r="W117" s="4">
        <v>2</v>
      </c>
      <c r="X117" s="4" t="s">
        <v>96</v>
      </c>
      <c r="Y117" s="4" t="s">
        <v>111</v>
      </c>
      <c r="Z117" s="4" t="s">
        <v>96</v>
      </c>
      <c r="AA117" s="4" t="s">
        <v>96</v>
      </c>
      <c r="AB117" s="4" t="s">
        <v>112</v>
      </c>
      <c r="AC117" s="4" t="s">
        <v>112</v>
      </c>
      <c r="AD117" s="4" t="s">
        <v>113</v>
      </c>
      <c r="AE117" s="4" t="s">
        <v>114</v>
      </c>
      <c r="AF117" s="4" t="s">
        <v>54</v>
      </c>
      <c r="AG117" s="5" t="s">
        <v>96</v>
      </c>
      <c r="AH117" s="4" t="s">
        <v>115</v>
      </c>
      <c r="AK117" s="4">
        <v>0</v>
      </c>
      <c r="AL117" s="4">
        <v>0</v>
      </c>
    </row>
    <row r="118" spans="1:38" x14ac:dyDescent="0.25">
      <c r="A118" s="4" t="s">
        <v>426</v>
      </c>
      <c r="B118" s="4">
        <v>234</v>
      </c>
      <c r="C118" s="4" t="s">
        <v>359</v>
      </c>
      <c r="D118" s="4" t="str">
        <f>MID(A118,1,2)</f>
        <v>G9</v>
      </c>
      <c r="E118" s="4" t="s">
        <v>360</v>
      </c>
      <c r="F118" s="4" t="s">
        <v>427</v>
      </c>
      <c r="G118" s="4" t="s">
        <v>391</v>
      </c>
      <c r="H118" s="4">
        <v>2025</v>
      </c>
      <c r="I118" s="4">
        <v>15</v>
      </c>
      <c r="J118" s="11">
        <f t="shared" si="21"/>
        <v>3510</v>
      </c>
      <c r="K118" s="11" t="s">
        <v>39</v>
      </c>
      <c r="L118" s="4" t="s">
        <v>428</v>
      </c>
      <c r="M118" s="4" t="s">
        <v>429</v>
      </c>
      <c r="N118" s="4" t="s">
        <v>366</v>
      </c>
      <c r="O118" s="4">
        <v>65</v>
      </c>
      <c r="P118" s="4">
        <v>3</v>
      </c>
      <c r="Q118" s="4">
        <f t="shared" ref="Q118:Q125" si="22">O118*P118</f>
        <v>195</v>
      </c>
      <c r="R118" s="4" t="s">
        <v>123</v>
      </c>
      <c r="S118" s="4" t="s">
        <v>599</v>
      </c>
      <c r="T118" s="4" t="s">
        <v>353</v>
      </c>
      <c r="U118" s="14">
        <v>0</v>
      </c>
      <c r="V118" s="4" t="s">
        <v>124</v>
      </c>
      <c r="W118" s="4">
        <v>2</v>
      </c>
      <c r="X118" s="4" t="s">
        <v>54</v>
      </c>
      <c r="Y118" s="4" t="s">
        <v>47</v>
      </c>
      <c r="Z118" s="4" t="s">
        <v>367</v>
      </c>
      <c r="AA118" s="4">
        <v>6500</v>
      </c>
      <c r="AB118" s="4" t="s">
        <v>368</v>
      </c>
      <c r="AC118" s="4" t="s">
        <v>50</v>
      </c>
      <c r="AD118" s="4" t="s">
        <v>125</v>
      </c>
      <c r="AE118" s="4" t="s">
        <v>126</v>
      </c>
      <c r="AF118" s="4" t="s">
        <v>54</v>
      </c>
      <c r="AG118" s="5" t="s">
        <v>96</v>
      </c>
      <c r="AH118" s="4" t="s">
        <v>54</v>
      </c>
      <c r="AI118" s="4" t="str">
        <f t="shared" ref="AI118:AI125" si="23">_xlfn.TEXTBEFORE(C118,"_") &amp; " (" &amp; _xlfn.TEXTAFTER(C118,"_") &amp; ")"</f>
        <v>S21 Pro (234T)</v>
      </c>
      <c r="AJ118" s="4" t="str">
        <f t="shared" ref="AJ118:AJ125" si="24">_xlfn.TEXTBEFORE(C118,"_") &amp; " (Vnish)"</f>
        <v>S21 Pro (Vnish)</v>
      </c>
      <c r="AK118" s="4">
        <v>0</v>
      </c>
      <c r="AL118" s="4">
        <v>1</v>
      </c>
    </row>
    <row r="119" spans="1:38" x14ac:dyDescent="0.25">
      <c r="A119" s="4" t="s">
        <v>430</v>
      </c>
      <c r="B119" s="4">
        <v>220</v>
      </c>
      <c r="C119" s="4" t="s">
        <v>370</v>
      </c>
      <c r="D119" s="4" t="str">
        <f>MID(A119,1,2)</f>
        <v>G9</v>
      </c>
      <c r="E119" s="4" t="s">
        <v>360</v>
      </c>
      <c r="F119" s="4" t="s">
        <v>427</v>
      </c>
      <c r="G119" s="4" t="s">
        <v>391</v>
      </c>
      <c r="H119" s="4">
        <v>2025</v>
      </c>
      <c r="I119" s="4">
        <v>15</v>
      </c>
      <c r="J119" s="11">
        <f t="shared" si="21"/>
        <v>3300</v>
      </c>
      <c r="K119" s="11" t="s">
        <v>39</v>
      </c>
      <c r="L119" s="4" t="s">
        <v>428</v>
      </c>
      <c r="M119" s="4" t="s">
        <v>429</v>
      </c>
      <c r="N119" s="4" t="s">
        <v>366</v>
      </c>
      <c r="O119" s="4">
        <v>65</v>
      </c>
      <c r="P119" s="4">
        <v>3</v>
      </c>
      <c r="Q119" s="4">
        <f t="shared" si="22"/>
        <v>195</v>
      </c>
      <c r="R119" s="4" t="s">
        <v>123</v>
      </c>
      <c r="S119" s="4" t="s">
        <v>599</v>
      </c>
      <c r="T119" s="4" t="s">
        <v>353</v>
      </c>
      <c r="U119" s="14">
        <v>0</v>
      </c>
      <c r="V119" s="4" t="s">
        <v>124</v>
      </c>
      <c r="W119" s="4">
        <v>2</v>
      </c>
      <c r="X119" s="4" t="s">
        <v>54</v>
      </c>
      <c r="Y119" s="4" t="s">
        <v>47</v>
      </c>
      <c r="Z119" s="4" t="s">
        <v>367</v>
      </c>
      <c r="AA119" s="4">
        <v>6500</v>
      </c>
      <c r="AB119" s="4" t="s">
        <v>368</v>
      </c>
      <c r="AC119" s="4" t="s">
        <v>50</v>
      </c>
      <c r="AD119" s="4" t="s">
        <v>125</v>
      </c>
      <c r="AE119" s="4" t="s">
        <v>126</v>
      </c>
      <c r="AF119" s="4" t="s">
        <v>54</v>
      </c>
      <c r="AG119" s="5" t="s">
        <v>96</v>
      </c>
      <c r="AH119" s="4" t="s">
        <v>54</v>
      </c>
      <c r="AI119" s="4" t="str">
        <f t="shared" si="23"/>
        <v>S21 Pro (220T)</v>
      </c>
      <c r="AJ119" s="4" t="str">
        <f t="shared" si="24"/>
        <v>S21 Pro (Vnish)</v>
      </c>
      <c r="AK119" s="4">
        <v>0</v>
      </c>
      <c r="AL119" s="4">
        <v>1</v>
      </c>
    </row>
    <row r="120" spans="1:38" x14ac:dyDescent="0.25">
      <c r="A120" s="4" t="s">
        <v>431</v>
      </c>
      <c r="B120" s="4">
        <v>245</v>
      </c>
      <c r="C120" s="4" t="s">
        <v>372</v>
      </c>
      <c r="D120" s="4" t="str">
        <f>MID(A120,1,2)</f>
        <v>G9</v>
      </c>
      <c r="E120" s="4" t="s">
        <v>360</v>
      </c>
      <c r="F120" s="4" t="s">
        <v>427</v>
      </c>
      <c r="G120" s="4" t="s">
        <v>391</v>
      </c>
      <c r="H120" s="4">
        <v>2025</v>
      </c>
      <c r="I120" s="4">
        <v>15</v>
      </c>
      <c r="J120" s="11">
        <f t="shared" si="21"/>
        <v>3675</v>
      </c>
      <c r="K120" s="11" t="s">
        <v>39</v>
      </c>
      <c r="L120" s="4" t="s">
        <v>428</v>
      </c>
      <c r="M120" s="4" t="s">
        <v>429</v>
      </c>
      <c r="N120" s="4" t="s">
        <v>366</v>
      </c>
      <c r="O120" s="4">
        <v>65</v>
      </c>
      <c r="P120" s="4">
        <v>3</v>
      </c>
      <c r="Q120" s="4">
        <f t="shared" si="22"/>
        <v>195</v>
      </c>
      <c r="R120" s="4" t="s">
        <v>123</v>
      </c>
      <c r="S120" s="4" t="s">
        <v>599</v>
      </c>
      <c r="T120" s="4" t="s">
        <v>353</v>
      </c>
      <c r="U120" s="14">
        <v>0</v>
      </c>
      <c r="V120" s="4" t="s">
        <v>124</v>
      </c>
      <c r="W120" s="4">
        <v>2</v>
      </c>
      <c r="X120" s="4" t="s">
        <v>54</v>
      </c>
      <c r="Y120" s="4" t="s">
        <v>47</v>
      </c>
      <c r="Z120" s="4" t="s">
        <v>367</v>
      </c>
      <c r="AA120" s="4">
        <v>6500</v>
      </c>
      <c r="AB120" s="4" t="s">
        <v>368</v>
      </c>
      <c r="AC120" s="4" t="s">
        <v>50</v>
      </c>
      <c r="AD120" s="4" t="s">
        <v>125</v>
      </c>
      <c r="AE120" s="4" t="s">
        <v>126</v>
      </c>
      <c r="AF120" s="4" t="s">
        <v>54</v>
      </c>
      <c r="AG120" s="5" t="s">
        <v>96</v>
      </c>
      <c r="AH120" s="4" t="s">
        <v>54</v>
      </c>
      <c r="AI120" s="4" t="str">
        <f t="shared" si="23"/>
        <v>S21 Pro (245T)</v>
      </c>
      <c r="AJ120" s="4" t="str">
        <f t="shared" si="24"/>
        <v>S21 Pro (Vnish)</v>
      </c>
      <c r="AK120" s="4">
        <v>0</v>
      </c>
      <c r="AL120" s="4">
        <v>1</v>
      </c>
    </row>
    <row r="121" spans="1:38" x14ac:dyDescent="0.25">
      <c r="A121" s="4" t="s">
        <v>584</v>
      </c>
      <c r="B121" s="4">
        <v>270</v>
      </c>
      <c r="C121" s="4" t="s">
        <v>380</v>
      </c>
      <c r="D121" s="4" t="s">
        <v>585</v>
      </c>
      <c r="E121" s="4" t="s">
        <v>382</v>
      </c>
      <c r="F121" s="4" t="s">
        <v>586</v>
      </c>
      <c r="G121" s="4" t="s">
        <v>362</v>
      </c>
      <c r="H121" s="4" t="s">
        <v>363</v>
      </c>
      <c r="I121" s="4">
        <v>13.5</v>
      </c>
      <c r="J121" s="11">
        <f t="shared" si="21"/>
        <v>3645</v>
      </c>
      <c r="K121" s="11" t="s">
        <v>39</v>
      </c>
      <c r="L121" s="4" t="s">
        <v>587</v>
      </c>
      <c r="N121" s="4" t="s">
        <v>366</v>
      </c>
      <c r="O121" s="4">
        <v>91</v>
      </c>
      <c r="P121" s="4">
        <v>3</v>
      </c>
      <c r="Q121" s="4">
        <f t="shared" si="22"/>
        <v>273</v>
      </c>
      <c r="R121" s="4" t="s">
        <v>123</v>
      </c>
      <c r="S121" s="4" t="s">
        <v>599</v>
      </c>
      <c r="T121" s="4" t="s">
        <v>353</v>
      </c>
      <c r="U121" s="14">
        <v>0</v>
      </c>
      <c r="V121" s="4" t="s">
        <v>124</v>
      </c>
      <c r="W121" s="4">
        <v>2</v>
      </c>
      <c r="X121" s="4" t="s">
        <v>54</v>
      </c>
      <c r="Y121" s="4" t="s">
        <v>47</v>
      </c>
      <c r="Z121" s="4" t="s">
        <v>367</v>
      </c>
      <c r="AA121" s="4">
        <v>6500</v>
      </c>
      <c r="AB121" s="4" t="s">
        <v>368</v>
      </c>
      <c r="AC121" s="4" t="s">
        <v>50</v>
      </c>
      <c r="AD121" s="4" t="s">
        <v>125</v>
      </c>
      <c r="AE121" s="4" t="s">
        <v>126</v>
      </c>
      <c r="AF121" s="4" t="s">
        <v>115</v>
      </c>
      <c r="AG121" s="4" t="s">
        <v>115</v>
      </c>
      <c r="AH121" s="4" t="s">
        <v>54</v>
      </c>
      <c r="AI121" s="4" t="str">
        <f t="shared" si="23"/>
        <v>S21 XP (270T)</v>
      </c>
      <c r="AJ121" s="4" t="str">
        <f t="shared" si="24"/>
        <v>S21 XP (Vnish)</v>
      </c>
      <c r="AK121" s="4">
        <v>1</v>
      </c>
      <c r="AL121" s="4">
        <v>1</v>
      </c>
    </row>
    <row r="122" spans="1:38" x14ac:dyDescent="0.25">
      <c r="A122" s="4" t="s">
        <v>432</v>
      </c>
      <c r="B122" s="4">
        <v>860</v>
      </c>
      <c r="C122" s="4" t="s">
        <v>433</v>
      </c>
      <c r="D122" s="4" t="s">
        <v>434</v>
      </c>
      <c r="E122" s="4" t="s">
        <v>435</v>
      </c>
      <c r="F122" s="4" t="s">
        <v>436</v>
      </c>
      <c r="G122" s="4" t="s">
        <v>391</v>
      </c>
      <c r="H122" s="4">
        <v>2025</v>
      </c>
      <c r="I122" s="4">
        <v>13</v>
      </c>
      <c r="J122" s="11">
        <f t="shared" si="21"/>
        <v>11180</v>
      </c>
      <c r="K122" s="11" t="s">
        <v>107</v>
      </c>
      <c r="L122" s="4" t="s">
        <v>437</v>
      </c>
      <c r="N122" s="4" t="s">
        <v>366</v>
      </c>
      <c r="O122" s="4">
        <v>160</v>
      </c>
      <c r="P122" s="4">
        <v>6</v>
      </c>
      <c r="Q122" s="4">
        <f t="shared" si="22"/>
        <v>960</v>
      </c>
      <c r="R122" s="4" t="s">
        <v>603</v>
      </c>
      <c r="S122" s="4" t="s">
        <v>115</v>
      </c>
      <c r="T122" s="4" t="s">
        <v>392</v>
      </c>
      <c r="U122" s="14">
        <v>0</v>
      </c>
      <c r="V122" s="4" t="s">
        <v>45</v>
      </c>
      <c r="W122" s="4" t="s">
        <v>393</v>
      </c>
      <c r="X122" s="4" t="s">
        <v>54</v>
      </c>
      <c r="Y122" s="4" t="s">
        <v>111</v>
      </c>
      <c r="Z122" s="4" t="s">
        <v>96</v>
      </c>
      <c r="AA122" s="4" t="s">
        <v>96</v>
      </c>
      <c r="AB122" s="4" t="s">
        <v>394</v>
      </c>
      <c r="AC122" s="4" t="s">
        <v>395</v>
      </c>
      <c r="AD122" s="4" t="s">
        <v>333</v>
      </c>
      <c r="AE122" s="4" t="s">
        <v>114</v>
      </c>
      <c r="AF122" s="4" t="s">
        <v>396</v>
      </c>
      <c r="AG122" s="5" t="s">
        <v>54</v>
      </c>
      <c r="AH122" s="4" t="s">
        <v>54</v>
      </c>
      <c r="AI122" s="4" t="str">
        <f t="shared" si="23"/>
        <v>U3S21EXPH (860T)</v>
      </c>
      <c r="AJ122" s="4" t="str">
        <f t="shared" si="24"/>
        <v>U3S21EXPH (Vnish)</v>
      </c>
      <c r="AK122" s="4">
        <v>1</v>
      </c>
      <c r="AL122" s="4">
        <v>1</v>
      </c>
    </row>
    <row r="123" spans="1:38" x14ac:dyDescent="0.25">
      <c r="A123" s="4" t="s">
        <v>438</v>
      </c>
      <c r="B123" s="4">
        <v>120</v>
      </c>
      <c r="C123" s="4" t="s">
        <v>89</v>
      </c>
      <c r="D123" s="4" t="str">
        <f>MID(A123,1,2)</f>
        <v>GM</v>
      </c>
      <c r="E123" s="4" t="s">
        <v>90</v>
      </c>
      <c r="F123" s="4" t="s">
        <v>439</v>
      </c>
      <c r="G123" s="4" t="s">
        <v>391</v>
      </c>
      <c r="H123" s="4">
        <v>2025</v>
      </c>
      <c r="I123" s="4">
        <v>23</v>
      </c>
      <c r="J123" s="11">
        <f t="shared" si="21"/>
        <v>2760</v>
      </c>
      <c r="K123" s="11" t="s">
        <v>39</v>
      </c>
      <c r="L123" s="4" t="s">
        <v>440</v>
      </c>
      <c r="N123" s="4" t="s">
        <v>93</v>
      </c>
      <c r="O123" s="4">
        <v>77</v>
      </c>
      <c r="P123" s="4">
        <v>3</v>
      </c>
      <c r="Q123" s="4">
        <f t="shared" si="22"/>
        <v>231</v>
      </c>
      <c r="R123" s="4" t="s">
        <v>80</v>
      </c>
      <c r="S123" s="4" t="s">
        <v>600</v>
      </c>
      <c r="T123" s="4" t="s">
        <v>94</v>
      </c>
      <c r="U123" s="14">
        <v>0.95</v>
      </c>
      <c r="V123" s="4" t="s">
        <v>124</v>
      </c>
      <c r="W123" s="4">
        <v>2</v>
      </c>
      <c r="X123" s="4" t="s">
        <v>54</v>
      </c>
      <c r="Y123" s="4" t="s">
        <v>82</v>
      </c>
      <c r="Z123" s="4" t="s">
        <v>48</v>
      </c>
      <c r="AA123" s="4" t="s">
        <v>95</v>
      </c>
      <c r="AB123" s="4" t="s">
        <v>62</v>
      </c>
      <c r="AC123" s="4" t="s">
        <v>50</v>
      </c>
      <c r="AD123" s="4" t="s">
        <v>51</v>
      </c>
      <c r="AE123" s="4" t="s">
        <v>52</v>
      </c>
      <c r="AF123" s="4" t="s">
        <v>54</v>
      </c>
      <c r="AG123" s="5" t="s">
        <v>96</v>
      </c>
      <c r="AH123" s="4" t="s">
        <v>46</v>
      </c>
      <c r="AI123" s="4" t="str">
        <f t="shared" si="23"/>
        <v>S19k Pro (120T)</v>
      </c>
      <c r="AJ123" s="4" t="str">
        <f t="shared" si="24"/>
        <v>S19k Pro (Vnish)</v>
      </c>
      <c r="AK123" s="4">
        <v>0</v>
      </c>
      <c r="AL123" s="4">
        <v>0</v>
      </c>
    </row>
    <row r="124" spans="1:38" x14ac:dyDescent="0.25">
      <c r="A124" s="4" t="s">
        <v>441</v>
      </c>
      <c r="B124" s="4">
        <v>115</v>
      </c>
      <c r="C124" s="4" t="s">
        <v>98</v>
      </c>
      <c r="D124" s="4" t="str">
        <f>MID(A124,1,2)</f>
        <v>GM</v>
      </c>
      <c r="E124" s="4" t="s">
        <v>90</v>
      </c>
      <c r="F124" s="4" t="s">
        <v>439</v>
      </c>
      <c r="G124" s="4" t="s">
        <v>391</v>
      </c>
      <c r="H124" s="4">
        <v>2025</v>
      </c>
      <c r="I124" s="4">
        <v>23</v>
      </c>
      <c r="J124" s="11">
        <f t="shared" si="21"/>
        <v>2645</v>
      </c>
      <c r="K124" s="11" t="s">
        <v>39</v>
      </c>
      <c r="L124" s="4" t="s">
        <v>440</v>
      </c>
      <c r="N124" s="4" t="s">
        <v>93</v>
      </c>
      <c r="O124" s="4">
        <v>77</v>
      </c>
      <c r="P124" s="4">
        <v>3</v>
      </c>
      <c r="Q124" s="4">
        <f t="shared" si="22"/>
        <v>231</v>
      </c>
      <c r="R124" s="4" t="s">
        <v>80</v>
      </c>
      <c r="S124" s="4" t="s">
        <v>600</v>
      </c>
      <c r="T124" s="4" t="s">
        <v>94</v>
      </c>
      <c r="U124" s="14">
        <v>0.95</v>
      </c>
      <c r="V124" s="4" t="s">
        <v>124</v>
      </c>
      <c r="W124" s="4">
        <v>2</v>
      </c>
      <c r="X124" s="4" t="s">
        <v>54</v>
      </c>
      <c r="Y124" s="4" t="s">
        <v>82</v>
      </c>
      <c r="Z124" s="4" t="s">
        <v>48</v>
      </c>
      <c r="AA124" s="4" t="s">
        <v>95</v>
      </c>
      <c r="AB124" s="4" t="s">
        <v>62</v>
      </c>
      <c r="AC124" s="4" t="s">
        <v>50</v>
      </c>
      <c r="AD124" s="4" t="s">
        <v>51</v>
      </c>
      <c r="AE124" s="4" t="s">
        <v>52</v>
      </c>
      <c r="AF124" s="4" t="s">
        <v>54</v>
      </c>
      <c r="AG124" s="5" t="s">
        <v>96</v>
      </c>
      <c r="AH124" s="4" t="s">
        <v>46</v>
      </c>
      <c r="AI124" s="4" t="str">
        <f t="shared" si="23"/>
        <v>S19k Pro (115T)</v>
      </c>
      <c r="AJ124" s="4" t="str">
        <f t="shared" si="24"/>
        <v>S19k Pro (Vnish)</v>
      </c>
      <c r="AK124" s="4">
        <v>0</v>
      </c>
      <c r="AL124" s="4">
        <v>0</v>
      </c>
    </row>
    <row r="125" spans="1:38" x14ac:dyDescent="0.25">
      <c r="A125" s="4" t="s">
        <v>442</v>
      </c>
      <c r="B125" s="4">
        <v>110</v>
      </c>
      <c r="C125" s="4" t="s">
        <v>100</v>
      </c>
      <c r="D125" s="4" t="str">
        <f>MID(A125,1,2)</f>
        <v>GM</v>
      </c>
      <c r="E125" s="4" t="s">
        <v>90</v>
      </c>
      <c r="F125" s="4" t="s">
        <v>439</v>
      </c>
      <c r="G125" s="4" t="s">
        <v>391</v>
      </c>
      <c r="H125" s="4">
        <v>2025</v>
      </c>
      <c r="I125" s="4">
        <v>23</v>
      </c>
      <c r="J125" s="11">
        <f t="shared" si="21"/>
        <v>2530</v>
      </c>
      <c r="K125" s="11" t="s">
        <v>39</v>
      </c>
      <c r="L125" s="4" t="s">
        <v>440</v>
      </c>
      <c r="N125" s="4" t="s">
        <v>93</v>
      </c>
      <c r="O125" s="4">
        <v>77</v>
      </c>
      <c r="P125" s="4">
        <v>3</v>
      </c>
      <c r="Q125" s="4">
        <f t="shared" si="22"/>
        <v>231</v>
      </c>
      <c r="R125" s="4" t="s">
        <v>80</v>
      </c>
      <c r="S125" s="4" t="s">
        <v>600</v>
      </c>
      <c r="T125" s="4" t="s">
        <v>94</v>
      </c>
      <c r="U125" s="14">
        <v>0.95</v>
      </c>
      <c r="V125" s="4" t="s">
        <v>124</v>
      </c>
      <c r="W125" s="4">
        <v>2</v>
      </c>
      <c r="X125" s="4" t="s">
        <v>54</v>
      </c>
      <c r="Y125" s="4" t="s">
        <v>82</v>
      </c>
      <c r="Z125" s="4" t="s">
        <v>48</v>
      </c>
      <c r="AA125" s="4" t="s">
        <v>95</v>
      </c>
      <c r="AB125" s="4" t="s">
        <v>62</v>
      </c>
      <c r="AC125" s="4" t="s">
        <v>50</v>
      </c>
      <c r="AD125" s="4" t="s">
        <v>51</v>
      </c>
      <c r="AE125" s="4" t="s">
        <v>52</v>
      </c>
      <c r="AF125" s="4" t="s">
        <v>54</v>
      </c>
      <c r="AG125" s="5" t="s">
        <v>96</v>
      </c>
      <c r="AH125" s="4" t="s">
        <v>46</v>
      </c>
      <c r="AI125" s="4" t="str">
        <f t="shared" si="23"/>
        <v>S19k Pro (110T)</v>
      </c>
      <c r="AJ125" s="4" t="str">
        <f t="shared" si="24"/>
        <v>S19k Pro (Vnish)</v>
      </c>
      <c r="AK125" s="4">
        <v>0</v>
      </c>
      <c r="AL125" s="4">
        <v>0</v>
      </c>
    </row>
    <row r="126" spans="1:38" x14ac:dyDescent="0.25">
      <c r="A126" s="4" t="s">
        <v>115</v>
      </c>
      <c r="B126" s="4">
        <v>318</v>
      </c>
      <c r="C126" s="4" t="s">
        <v>462</v>
      </c>
      <c r="D126" s="4" t="s">
        <v>115</v>
      </c>
      <c r="E126" s="4" t="s">
        <v>463</v>
      </c>
      <c r="F126" s="4" t="s">
        <v>115</v>
      </c>
      <c r="G126" s="4" t="s">
        <v>391</v>
      </c>
      <c r="H126" s="4">
        <v>2025</v>
      </c>
      <c r="I126" s="4">
        <v>11</v>
      </c>
      <c r="J126" s="4">
        <f t="shared" ref="J126:J131" si="25">B126*I126</f>
        <v>3498</v>
      </c>
      <c r="K126" s="4" t="s">
        <v>39</v>
      </c>
      <c r="L126" s="4" t="s">
        <v>115</v>
      </c>
      <c r="N126" s="4" t="s">
        <v>449</v>
      </c>
      <c r="P126" s="4">
        <v>3</v>
      </c>
      <c r="R126" s="4" t="s">
        <v>123</v>
      </c>
      <c r="S126" s="4" t="s">
        <v>599</v>
      </c>
      <c r="T126" s="4" t="s">
        <v>353</v>
      </c>
      <c r="U126" s="14">
        <v>0</v>
      </c>
      <c r="V126" s="4" t="s">
        <v>124</v>
      </c>
      <c r="W126" s="4">
        <v>4</v>
      </c>
      <c r="X126" s="4" t="s">
        <v>54</v>
      </c>
      <c r="Y126" s="4" t="s">
        <v>47</v>
      </c>
      <c r="Z126" s="4" t="s">
        <v>367</v>
      </c>
      <c r="AA126" s="4">
        <v>6500</v>
      </c>
      <c r="AB126" s="4" t="s">
        <v>368</v>
      </c>
      <c r="AC126" s="4" t="s">
        <v>50</v>
      </c>
      <c r="AD126" s="4" t="s">
        <v>125</v>
      </c>
      <c r="AE126" s="4" t="s">
        <v>126</v>
      </c>
      <c r="AF126" s="4" t="s">
        <v>54</v>
      </c>
      <c r="AG126" s="5" t="s">
        <v>96</v>
      </c>
      <c r="AH126" s="4" t="s">
        <v>115</v>
      </c>
      <c r="AI126" s="4" t="str">
        <f>_xlfn.TEXTBEFORE(C126,"_") &amp; " (" &amp; _xlfn.TEXTAFTER(C126,"_") &amp; ")"</f>
        <v>S23 (318T)</v>
      </c>
      <c r="AJ126" s="4" t="str">
        <f>_xlfn.TEXTBEFORE(C126,"_") &amp; " (Vnish)"</f>
        <v>S23 (Vnish)</v>
      </c>
      <c r="AK126" s="4">
        <v>1</v>
      </c>
      <c r="AL126" s="4">
        <v>1</v>
      </c>
    </row>
    <row r="127" spans="1:38" x14ac:dyDescent="0.25">
      <c r="A127" s="4" t="s">
        <v>450</v>
      </c>
      <c r="B127" s="4">
        <v>234</v>
      </c>
      <c r="C127" s="4" t="s">
        <v>359</v>
      </c>
      <c r="D127" s="4" t="str">
        <f>MID(A127,1,2)</f>
        <v>H9</v>
      </c>
      <c r="E127" s="4" t="s">
        <v>360</v>
      </c>
      <c r="F127" s="4" t="s">
        <v>451</v>
      </c>
      <c r="G127" s="4" t="s">
        <v>391</v>
      </c>
      <c r="H127" s="4">
        <v>2025</v>
      </c>
      <c r="I127" s="4">
        <v>15</v>
      </c>
      <c r="J127" s="11">
        <f t="shared" si="25"/>
        <v>3510</v>
      </c>
      <c r="K127" s="11" t="s">
        <v>39</v>
      </c>
      <c r="L127" s="4" t="s">
        <v>452</v>
      </c>
      <c r="M127" s="4" t="s">
        <v>453</v>
      </c>
      <c r="N127" s="4" t="s">
        <v>366</v>
      </c>
      <c r="O127" s="4">
        <v>65</v>
      </c>
      <c r="P127" s="4">
        <v>3</v>
      </c>
      <c r="Q127" s="4">
        <f>O127*P127</f>
        <v>195</v>
      </c>
      <c r="R127" s="4" t="s">
        <v>123</v>
      </c>
      <c r="S127" s="4" t="s">
        <v>599</v>
      </c>
      <c r="T127" s="4" t="s">
        <v>353</v>
      </c>
      <c r="U127" s="14">
        <v>0</v>
      </c>
      <c r="V127" s="4" t="s">
        <v>124</v>
      </c>
      <c r="W127" s="4">
        <v>2</v>
      </c>
      <c r="X127" s="4" t="s">
        <v>54</v>
      </c>
      <c r="Y127" s="4" t="s">
        <v>47</v>
      </c>
      <c r="Z127" s="4" t="s">
        <v>367</v>
      </c>
      <c r="AA127" s="4">
        <v>6500</v>
      </c>
      <c r="AB127" s="4" t="s">
        <v>368</v>
      </c>
      <c r="AC127" s="4" t="s">
        <v>50</v>
      </c>
      <c r="AD127" s="4" t="s">
        <v>125</v>
      </c>
      <c r="AE127" s="4" t="s">
        <v>126</v>
      </c>
      <c r="AF127" s="4" t="s">
        <v>54</v>
      </c>
      <c r="AG127" s="5" t="s">
        <v>96</v>
      </c>
      <c r="AH127" s="4" t="s">
        <v>54</v>
      </c>
      <c r="AI127" s="4" t="str">
        <f>_xlfn.TEXTBEFORE(C127,"_") &amp; " (" &amp; _xlfn.TEXTAFTER(C127,"_") &amp; ")"</f>
        <v>S21 Pro (234T)</v>
      </c>
      <c r="AJ127" s="4" t="str">
        <f>_xlfn.TEXTBEFORE(C127,"_") &amp; " (Vnish)"</f>
        <v>S21 Pro (Vnish)</v>
      </c>
      <c r="AK127" s="4">
        <v>0</v>
      </c>
      <c r="AL127" s="4">
        <v>1</v>
      </c>
    </row>
    <row r="128" spans="1:38" x14ac:dyDescent="0.25">
      <c r="A128" s="4" t="s">
        <v>454</v>
      </c>
      <c r="B128" s="4">
        <v>220</v>
      </c>
      <c r="C128" s="4" t="s">
        <v>370</v>
      </c>
      <c r="D128" s="4" t="str">
        <f>MID(A128,1,2)</f>
        <v>H9</v>
      </c>
      <c r="E128" s="4" t="s">
        <v>360</v>
      </c>
      <c r="F128" s="4" t="s">
        <v>451</v>
      </c>
      <c r="G128" s="4" t="s">
        <v>391</v>
      </c>
      <c r="H128" s="4">
        <v>2025</v>
      </c>
      <c r="I128" s="4">
        <v>15</v>
      </c>
      <c r="J128" s="11">
        <f t="shared" si="25"/>
        <v>3300</v>
      </c>
      <c r="K128" s="11" t="s">
        <v>39</v>
      </c>
      <c r="L128" s="4" t="s">
        <v>452</v>
      </c>
      <c r="M128" s="4" t="s">
        <v>453</v>
      </c>
      <c r="N128" s="4" t="s">
        <v>366</v>
      </c>
      <c r="O128" s="4">
        <v>65</v>
      </c>
      <c r="P128" s="4">
        <v>3</v>
      </c>
      <c r="Q128" s="4">
        <f>O128*P128</f>
        <v>195</v>
      </c>
      <c r="R128" s="4" t="s">
        <v>123</v>
      </c>
      <c r="S128" s="4" t="s">
        <v>599</v>
      </c>
      <c r="T128" s="4" t="s">
        <v>353</v>
      </c>
      <c r="U128" s="14">
        <v>0</v>
      </c>
      <c r="V128" s="4" t="s">
        <v>124</v>
      </c>
      <c r="W128" s="4">
        <v>2</v>
      </c>
      <c r="X128" s="4" t="s">
        <v>54</v>
      </c>
      <c r="Y128" s="4" t="s">
        <v>47</v>
      </c>
      <c r="Z128" s="4" t="s">
        <v>367</v>
      </c>
      <c r="AA128" s="4">
        <v>6500</v>
      </c>
      <c r="AB128" s="4" t="s">
        <v>368</v>
      </c>
      <c r="AC128" s="4" t="s">
        <v>50</v>
      </c>
      <c r="AD128" s="4" t="s">
        <v>125</v>
      </c>
      <c r="AE128" s="4" t="s">
        <v>126</v>
      </c>
      <c r="AF128" s="4" t="s">
        <v>54</v>
      </c>
      <c r="AG128" s="5" t="s">
        <v>96</v>
      </c>
      <c r="AH128" s="4" t="s">
        <v>54</v>
      </c>
      <c r="AI128" s="4" t="str">
        <f>_xlfn.TEXTBEFORE(C128,"_") &amp; " (" &amp; _xlfn.TEXTAFTER(C128,"_") &amp; ")"</f>
        <v>S21 Pro (220T)</v>
      </c>
      <c r="AJ128" s="4" t="str">
        <f>_xlfn.TEXTBEFORE(C128,"_") &amp; " (Vnish)"</f>
        <v>S21 Pro (Vnish)</v>
      </c>
      <c r="AK128" s="4">
        <v>0</v>
      </c>
      <c r="AL128" s="4">
        <v>1</v>
      </c>
    </row>
    <row r="129" spans="1:38" x14ac:dyDescent="0.25">
      <c r="A129" s="4" t="s">
        <v>455</v>
      </c>
      <c r="B129" s="4">
        <v>245</v>
      </c>
      <c r="C129" s="4" t="s">
        <v>372</v>
      </c>
      <c r="D129" s="4" t="str">
        <f>MID(A129,1,2)</f>
        <v>H9</v>
      </c>
      <c r="E129" s="4" t="s">
        <v>360</v>
      </c>
      <c r="F129" s="4" t="s">
        <v>451</v>
      </c>
      <c r="G129" s="4" t="s">
        <v>391</v>
      </c>
      <c r="H129" s="4">
        <v>2025</v>
      </c>
      <c r="I129" s="4">
        <v>15</v>
      </c>
      <c r="J129" s="11">
        <f t="shared" si="25"/>
        <v>3675</v>
      </c>
      <c r="K129" s="11" t="s">
        <v>39</v>
      </c>
      <c r="L129" s="4" t="s">
        <v>452</v>
      </c>
      <c r="M129" s="4" t="s">
        <v>453</v>
      </c>
      <c r="N129" s="4" t="s">
        <v>366</v>
      </c>
      <c r="O129" s="4">
        <v>65</v>
      </c>
      <c r="P129" s="4">
        <v>3</v>
      </c>
      <c r="Q129" s="4">
        <f>O129*P129</f>
        <v>195</v>
      </c>
      <c r="R129" s="4" t="s">
        <v>123</v>
      </c>
      <c r="S129" s="4" t="s">
        <v>599</v>
      </c>
      <c r="T129" s="4" t="s">
        <v>353</v>
      </c>
      <c r="U129" s="14">
        <v>0</v>
      </c>
      <c r="V129" s="4" t="s">
        <v>124</v>
      </c>
      <c r="W129" s="4">
        <v>2</v>
      </c>
      <c r="X129" s="4" t="s">
        <v>54</v>
      </c>
      <c r="Y129" s="4" t="s">
        <v>47</v>
      </c>
      <c r="Z129" s="4" t="s">
        <v>367</v>
      </c>
      <c r="AA129" s="4">
        <v>6500</v>
      </c>
      <c r="AB129" s="4" t="s">
        <v>368</v>
      </c>
      <c r="AC129" s="4" t="s">
        <v>50</v>
      </c>
      <c r="AD129" s="4" t="s">
        <v>125</v>
      </c>
      <c r="AE129" s="4" t="s">
        <v>126</v>
      </c>
      <c r="AF129" s="4" t="s">
        <v>54</v>
      </c>
      <c r="AG129" s="5" t="s">
        <v>96</v>
      </c>
      <c r="AH129" s="4" t="s">
        <v>54</v>
      </c>
      <c r="AI129" s="4" t="str">
        <f>_xlfn.TEXTBEFORE(C129,"_") &amp; " (" &amp; _xlfn.TEXTAFTER(C129,"_") &amp; ")"</f>
        <v>S21 Pro (245T)</v>
      </c>
      <c r="AJ129" s="4" t="str">
        <f>_xlfn.TEXTBEFORE(C129,"_") &amp; " (Vnish)"</f>
        <v>S21 Pro (Vnish)</v>
      </c>
      <c r="AK129" s="4">
        <v>0</v>
      </c>
      <c r="AL129" s="4">
        <v>1</v>
      </c>
    </row>
    <row r="130" spans="1:38" x14ac:dyDescent="0.25">
      <c r="A130" s="4" t="s">
        <v>115</v>
      </c>
      <c r="B130" s="4">
        <v>368</v>
      </c>
      <c r="C130" s="4" t="s">
        <v>460</v>
      </c>
      <c r="D130" s="4" t="s">
        <v>115</v>
      </c>
      <c r="E130" s="4" t="s">
        <v>461</v>
      </c>
      <c r="F130" s="4" t="s">
        <v>115</v>
      </c>
      <c r="G130" s="4" t="s">
        <v>391</v>
      </c>
      <c r="H130" s="4">
        <v>2025</v>
      </c>
      <c r="I130" s="4">
        <v>11</v>
      </c>
      <c r="J130" s="4">
        <f t="shared" si="25"/>
        <v>4048</v>
      </c>
      <c r="K130" s="4" t="s">
        <v>351</v>
      </c>
      <c r="L130" s="4" t="s">
        <v>115</v>
      </c>
      <c r="N130" s="4" t="s">
        <v>449</v>
      </c>
      <c r="P130" s="4">
        <v>3</v>
      </c>
      <c r="R130" s="4" t="s">
        <v>604</v>
      </c>
      <c r="S130" s="4" t="s">
        <v>598</v>
      </c>
      <c r="T130" s="4" t="s">
        <v>353</v>
      </c>
      <c r="U130" s="14">
        <v>0</v>
      </c>
      <c r="V130" s="4" t="s">
        <v>45</v>
      </c>
      <c r="W130" s="4">
        <v>4</v>
      </c>
      <c r="X130" s="4" t="s">
        <v>54</v>
      </c>
      <c r="Y130" s="4" t="s">
        <v>82</v>
      </c>
      <c r="Z130" s="4" t="s">
        <v>96</v>
      </c>
      <c r="AA130" s="4" t="s">
        <v>96</v>
      </c>
      <c r="AB130" s="4" t="s">
        <v>354</v>
      </c>
      <c r="AC130" s="4" t="s">
        <v>332</v>
      </c>
      <c r="AD130" s="4" t="s">
        <v>333</v>
      </c>
      <c r="AE130" s="4" t="s">
        <v>114</v>
      </c>
      <c r="AF130" s="4" t="s">
        <v>54</v>
      </c>
      <c r="AG130" s="5" t="s">
        <v>96</v>
      </c>
      <c r="AH130" s="4" t="s">
        <v>46</v>
      </c>
      <c r="AI130" s="4" t="s">
        <v>595</v>
      </c>
      <c r="AJ130" s="4" t="s">
        <v>596</v>
      </c>
      <c r="AK130" s="4">
        <v>1</v>
      </c>
      <c r="AL130" s="4">
        <v>1</v>
      </c>
    </row>
    <row r="131" spans="1:38" x14ac:dyDescent="0.25">
      <c r="A131" s="4" t="s">
        <v>443</v>
      </c>
      <c r="B131" s="4">
        <v>580</v>
      </c>
      <c r="C131" s="4" t="s">
        <v>444</v>
      </c>
      <c r="D131" s="4" t="s">
        <v>445</v>
      </c>
      <c r="E131" s="4" t="s">
        <v>446</v>
      </c>
      <c r="F131" s="4" t="s">
        <v>447</v>
      </c>
      <c r="G131" s="4" t="s">
        <v>391</v>
      </c>
      <c r="H131" s="4">
        <v>2025</v>
      </c>
      <c r="I131" s="4">
        <v>9.5</v>
      </c>
      <c r="J131" s="4">
        <f t="shared" si="25"/>
        <v>5510</v>
      </c>
      <c r="K131" s="4" t="s">
        <v>107</v>
      </c>
      <c r="L131" s="4" t="s">
        <v>448</v>
      </c>
      <c r="N131" s="4" t="s">
        <v>449</v>
      </c>
      <c r="O131" s="4">
        <v>84</v>
      </c>
      <c r="P131" s="4">
        <v>3</v>
      </c>
      <c r="Q131" s="4">
        <f>O131*P131</f>
        <v>252</v>
      </c>
      <c r="R131" s="4" t="s">
        <v>603</v>
      </c>
      <c r="S131" s="4" t="s">
        <v>115</v>
      </c>
      <c r="T131" s="4" t="s">
        <v>110</v>
      </c>
      <c r="U131" s="14">
        <v>0</v>
      </c>
      <c r="V131" s="4" t="s">
        <v>45</v>
      </c>
      <c r="W131" s="4">
        <v>2</v>
      </c>
      <c r="X131" s="4" t="s">
        <v>54</v>
      </c>
      <c r="Y131" s="4" t="s">
        <v>111</v>
      </c>
      <c r="Z131" s="4" t="s">
        <v>96</v>
      </c>
      <c r="AA131" s="4" t="s">
        <v>96</v>
      </c>
      <c r="AB131" s="4" t="s">
        <v>112</v>
      </c>
      <c r="AC131" s="4" t="s">
        <v>112</v>
      </c>
      <c r="AD131" s="4" t="s">
        <v>113</v>
      </c>
      <c r="AE131" s="4" t="s">
        <v>114</v>
      </c>
      <c r="AF131" s="4" t="s">
        <v>54</v>
      </c>
      <c r="AG131" s="5" t="s">
        <v>96</v>
      </c>
      <c r="AH131" s="4" t="s">
        <v>115</v>
      </c>
      <c r="AI131" s="4" t="str">
        <f>_xlfn.TEXTBEFORE(C131,"_") &amp; " (" &amp; _xlfn.TEXTAFTER(C131,"_") &amp; ")"</f>
        <v>S23 Hyd. (580T)</v>
      </c>
      <c r="AJ131" s="4" t="str">
        <f>_xlfn.TEXTBEFORE(C131,"_") &amp; " (Vnish)"</f>
        <v>S23 Hyd. (Vnish)</v>
      </c>
      <c r="AK131" s="4">
        <v>1</v>
      </c>
      <c r="AL131" s="4">
        <v>0</v>
      </c>
    </row>
    <row r="132" spans="1:38" x14ac:dyDescent="0.25">
      <c r="A132" s="4" t="s">
        <v>115</v>
      </c>
      <c r="B132" s="4">
        <v>500</v>
      </c>
      <c r="C132" s="4" t="s">
        <v>458</v>
      </c>
      <c r="D132" s="4" t="s">
        <v>115</v>
      </c>
      <c r="E132" s="4" t="s">
        <v>459</v>
      </c>
      <c r="F132" s="4" t="s">
        <v>115</v>
      </c>
      <c r="G132" s="4" t="s">
        <v>391</v>
      </c>
      <c r="H132" s="4">
        <v>2025</v>
      </c>
      <c r="I132" s="4">
        <v>11</v>
      </c>
      <c r="J132" s="4">
        <v>5500</v>
      </c>
      <c r="K132" s="4" t="s">
        <v>107</v>
      </c>
      <c r="L132" s="4" t="s">
        <v>115</v>
      </c>
      <c r="N132" s="4" t="s">
        <v>366</v>
      </c>
      <c r="P132" s="4">
        <v>3</v>
      </c>
      <c r="R132" s="4" t="s">
        <v>603</v>
      </c>
      <c r="S132" s="4" t="s">
        <v>115</v>
      </c>
      <c r="T132" s="4" t="s">
        <v>110</v>
      </c>
      <c r="U132" s="14">
        <v>0</v>
      </c>
      <c r="V132" s="4" t="s">
        <v>45</v>
      </c>
      <c r="W132" s="4">
        <v>2</v>
      </c>
      <c r="X132" s="4" t="s">
        <v>96</v>
      </c>
      <c r="Y132" s="4" t="s">
        <v>111</v>
      </c>
      <c r="Z132" s="4" t="s">
        <v>96</v>
      </c>
      <c r="AA132" s="4" t="s">
        <v>96</v>
      </c>
      <c r="AB132" s="4" t="s">
        <v>112</v>
      </c>
      <c r="AC132" s="4" t="s">
        <v>112</v>
      </c>
      <c r="AD132" s="4" t="s">
        <v>113</v>
      </c>
      <c r="AE132" s="4" t="s">
        <v>114</v>
      </c>
      <c r="AF132" s="4" t="s">
        <v>54</v>
      </c>
      <c r="AG132" s="5" t="s">
        <v>96</v>
      </c>
      <c r="AH132" s="4" t="s">
        <v>115</v>
      </c>
      <c r="AK132" s="4">
        <v>1</v>
      </c>
      <c r="AL132" s="4">
        <v>0</v>
      </c>
    </row>
    <row r="133" spans="1:38" x14ac:dyDescent="0.25">
      <c r="A133" s="4" t="s">
        <v>115</v>
      </c>
      <c r="B133" s="4">
        <v>473</v>
      </c>
      <c r="C133" s="4" t="s">
        <v>464</v>
      </c>
      <c r="D133" s="4" t="s">
        <v>115</v>
      </c>
      <c r="E133" s="4" t="s">
        <v>465</v>
      </c>
      <c r="F133" s="4" t="s">
        <v>115</v>
      </c>
      <c r="G133" s="4" t="s">
        <v>106</v>
      </c>
      <c r="H133" s="4">
        <v>2024</v>
      </c>
      <c r="I133" s="4">
        <v>12</v>
      </c>
      <c r="J133" s="4">
        <v>5676</v>
      </c>
      <c r="K133" s="4" t="s">
        <v>107</v>
      </c>
      <c r="L133" s="4" t="s">
        <v>115</v>
      </c>
      <c r="N133" s="4" t="s">
        <v>366</v>
      </c>
      <c r="O133" s="4">
        <v>160</v>
      </c>
      <c r="P133" s="4">
        <v>3</v>
      </c>
      <c r="Q133" s="4">
        <f>O133*P133</f>
        <v>480</v>
      </c>
      <c r="R133" s="4" t="s">
        <v>603</v>
      </c>
      <c r="S133" s="4" t="s">
        <v>115</v>
      </c>
      <c r="T133" s="4" t="s">
        <v>110</v>
      </c>
      <c r="U133" s="14">
        <v>0</v>
      </c>
      <c r="V133" s="4" t="s">
        <v>45</v>
      </c>
      <c r="W133" s="4">
        <v>2</v>
      </c>
      <c r="X133" s="4" t="s">
        <v>96</v>
      </c>
      <c r="Y133" s="4" t="s">
        <v>111</v>
      </c>
      <c r="Z133" s="4" t="s">
        <v>96</v>
      </c>
      <c r="AA133" s="4" t="s">
        <v>96</v>
      </c>
      <c r="AB133" s="4" t="s">
        <v>112</v>
      </c>
      <c r="AC133" s="4" t="s">
        <v>112</v>
      </c>
      <c r="AD133" s="4" t="s">
        <v>113</v>
      </c>
      <c r="AE133" s="4" t="s">
        <v>114</v>
      </c>
      <c r="AF133" s="4" t="s">
        <v>54</v>
      </c>
      <c r="AG133" s="5" t="s">
        <v>96</v>
      </c>
      <c r="AH133" s="4" t="s">
        <v>115</v>
      </c>
      <c r="AK133" s="4">
        <v>1</v>
      </c>
      <c r="AL133" s="4">
        <v>0</v>
      </c>
    </row>
    <row r="134" spans="1:38" x14ac:dyDescent="0.25">
      <c r="A134" s="4" t="s">
        <v>115</v>
      </c>
      <c r="B134" s="4">
        <v>279</v>
      </c>
      <c r="C134" s="4" t="s">
        <v>466</v>
      </c>
      <c r="D134" s="4" t="s">
        <v>115</v>
      </c>
      <c r="E134" s="4" t="s">
        <v>467</v>
      </c>
      <c r="F134" s="4" t="s">
        <v>115</v>
      </c>
      <c r="G134" s="4" t="s">
        <v>115</v>
      </c>
      <c r="H134" s="4" t="s">
        <v>115</v>
      </c>
      <c r="I134" s="4">
        <v>19</v>
      </c>
      <c r="J134" s="4">
        <v>5301</v>
      </c>
      <c r="K134" s="4" t="s">
        <v>107</v>
      </c>
      <c r="L134" s="4" t="s">
        <v>115</v>
      </c>
      <c r="N134" s="4" t="s">
        <v>93</v>
      </c>
      <c r="P134" s="4">
        <v>3</v>
      </c>
      <c r="R134" s="4" t="s">
        <v>603</v>
      </c>
      <c r="S134" s="4" t="s">
        <v>115</v>
      </c>
      <c r="T134" s="4" t="s">
        <v>110</v>
      </c>
      <c r="U134" s="14">
        <v>0</v>
      </c>
      <c r="V134" s="4" t="s">
        <v>45</v>
      </c>
      <c r="W134" s="4">
        <v>2</v>
      </c>
      <c r="X134" s="4" t="s">
        <v>96</v>
      </c>
      <c r="Y134" s="4" t="s">
        <v>111</v>
      </c>
      <c r="Z134" s="4" t="s">
        <v>96</v>
      </c>
      <c r="AA134" s="4" t="s">
        <v>96</v>
      </c>
      <c r="AB134" s="4" t="s">
        <v>112</v>
      </c>
      <c r="AC134" s="4" t="s">
        <v>112</v>
      </c>
      <c r="AD134" s="4" t="s">
        <v>113</v>
      </c>
      <c r="AE134" s="4" t="s">
        <v>114</v>
      </c>
      <c r="AF134" s="4" t="s">
        <v>54</v>
      </c>
      <c r="AG134" s="5" t="s">
        <v>96</v>
      </c>
      <c r="AH134" s="4" t="s">
        <v>115</v>
      </c>
      <c r="AK134" s="4">
        <v>1</v>
      </c>
      <c r="AL134" s="4">
        <v>0</v>
      </c>
    </row>
    <row r="135" spans="1:38" x14ac:dyDescent="0.25">
      <c r="A135" s="4" t="s">
        <v>115</v>
      </c>
      <c r="B135" s="4">
        <v>250</v>
      </c>
      <c r="C135" s="4" t="s">
        <v>468</v>
      </c>
      <c r="D135" s="4" t="s">
        <v>115</v>
      </c>
      <c r="E135" s="4" t="s">
        <v>469</v>
      </c>
      <c r="F135" s="4" t="s">
        <v>115</v>
      </c>
      <c r="G135" s="4" t="s">
        <v>115</v>
      </c>
      <c r="H135" s="4" t="s">
        <v>115</v>
      </c>
      <c r="I135" s="4">
        <v>20.8</v>
      </c>
      <c r="J135" s="4">
        <f>I135*B135</f>
        <v>5200</v>
      </c>
      <c r="K135" s="4" t="s">
        <v>107</v>
      </c>
      <c r="L135" s="4" t="s">
        <v>470</v>
      </c>
      <c r="N135" s="4" t="s">
        <v>93</v>
      </c>
      <c r="O135" s="4">
        <v>204</v>
      </c>
      <c r="P135" s="4">
        <v>3</v>
      </c>
      <c r="Q135" s="4">
        <f>O135*P135</f>
        <v>612</v>
      </c>
      <c r="R135" s="4" t="s">
        <v>603</v>
      </c>
      <c r="S135" s="4" t="s">
        <v>115</v>
      </c>
      <c r="T135" s="4" t="s">
        <v>110</v>
      </c>
      <c r="U135" s="14">
        <v>0</v>
      </c>
      <c r="V135" s="4" t="s">
        <v>45</v>
      </c>
      <c r="W135" s="4">
        <v>4</v>
      </c>
      <c r="X135" s="4" t="s">
        <v>54</v>
      </c>
      <c r="Y135" s="4" t="s">
        <v>111</v>
      </c>
      <c r="Z135" s="4" t="s">
        <v>96</v>
      </c>
      <c r="AA135" s="4" t="s">
        <v>96</v>
      </c>
      <c r="AB135" s="4" t="s">
        <v>112</v>
      </c>
      <c r="AC135" s="4" t="s">
        <v>112</v>
      </c>
      <c r="AD135" s="4" t="s">
        <v>113</v>
      </c>
      <c r="AE135" s="4" t="s">
        <v>114</v>
      </c>
      <c r="AF135" s="4" t="s">
        <v>54</v>
      </c>
      <c r="AG135" s="5" t="s">
        <v>96</v>
      </c>
      <c r="AH135" s="4" t="s">
        <v>115</v>
      </c>
      <c r="AK135" s="4">
        <v>0</v>
      </c>
      <c r="AL135" s="4">
        <v>0</v>
      </c>
    </row>
    <row r="136" spans="1:38" x14ac:dyDescent="0.25">
      <c r="A136" s="4" t="s">
        <v>115</v>
      </c>
      <c r="B136" s="4">
        <v>257</v>
      </c>
      <c r="C136" s="4" t="s">
        <v>471</v>
      </c>
      <c r="D136" s="4" t="s">
        <v>115</v>
      </c>
      <c r="E136" s="4" t="s">
        <v>469</v>
      </c>
      <c r="F136" s="4" t="s">
        <v>115</v>
      </c>
      <c r="G136" s="4" t="s">
        <v>115</v>
      </c>
      <c r="H136" s="4" t="s">
        <v>115</v>
      </c>
      <c r="I136" s="4">
        <v>20.8</v>
      </c>
      <c r="J136" s="4">
        <v>5346</v>
      </c>
      <c r="K136" s="4" t="s">
        <v>107</v>
      </c>
      <c r="L136" s="4" t="s">
        <v>470</v>
      </c>
      <c r="N136" s="4" t="s">
        <v>93</v>
      </c>
      <c r="O136" s="4">
        <v>204</v>
      </c>
      <c r="P136" s="4">
        <v>3</v>
      </c>
      <c r="Q136" s="4">
        <f>O136*P136</f>
        <v>612</v>
      </c>
      <c r="R136" s="4" t="s">
        <v>603</v>
      </c>
      <c r="S136" s="4" t="s">
        <v>115</v>
      </c>
      <c r="T136" s="4" t="s">
        <v>110</v>
      </c>
      <c r="U136" s="14">
        <v>0</v>
      </c>
      <c r="V136" s="4" t="s">
        <v>45</v>
      </c>
      <c r="W136" s="4">
        <v>4</v>
      </c>
      <c r="X136" s="4" t="s">
        <v>54</v>
      </c>
      <c r="Y136" s="4" t="s">
        <v>111</v>
      </c>
      <c r="Z136" s="4" t="s">
        <v>96</v>
      </c>
      <c r="AA136" s="4" t="s">
        <v>96</v>
      </c>
      <c r="AB136" s="4" t="s">
        <v>112</v>
      </c>
      <c r="AC136" s="4" t="s">
        <v>112</v>
      </c>
      <c r="AD136" s="4" t="s">
        <v>113</v>
      </c>
      <c r="AE136" s="4" t="s">
        <v>114</v>
      </c>
      <c r="AF136" s="4" t="s">
        <v>54</v>
      </c>
      <c r="AG136" s="5" t="s">
        <v>96</v>
      </c>
      <c r="AH136" s="4" t="s">
        <v>115</v>
      </c>
      <c r="AK136" s="4">
        <v>1</v>
      </c>
      <c r="AL136" s="4">
        <v>0</v>
      </c>
    </row>
    <row r="137" spans="1:38" x14ac:dyDescent="0.25">
      <c r="A137" s="4" t="s">
        <v>115</v>
      </c>
      <c r="B137" s="4">
        <v>235</v>
      </c>
      <c r="C137" s="4" t="s">
        <v>472</v>
      </c>
      <c r="D137" s="4" t="s">
        <v>115</v>
      </c>
      <c r="E137" s="4" t="s">
        <v>473</v>
      </c>
      <c r="F137" s="4" t="s">
        <v>115</v>
      </c>
      <c r="G137" s="4" t="s">
        <v>115</v>
      </c>
      <c r="H137" s="4" t="s">
        <v>115</v>
      </c>
      <c r="I137" s="4">
        <v>22</v>
      </c>
      <c r="J137" s="4">
        <v>5170</v>
      </c>
      <c r="K137" s="4" t="s">
        <v>107</v>
      </c>
      <c r="L137" s="4" t="s">
        <v>115</v>
      </c>
      <c r="P137" s="4">
        <v>3</v>
      </c>
      <c r="R137" s="4" t="s">
        <v>603</v>
      </c>
      <c r="S137" s="4" t="s">
        <v>115</v>
      </c>
      <c r="T137" s="4" t="s">
        <v>110</v>
      </c>
      <c r="U137" s="14">
        <v>0</v>
      </c>
      <c r="V137" s="4" t="s">
        <v>45</v>
      </c>
      <c r="W137" s="4">
        <v>2</v>
      </c>
      <c r="X137" s="4" t="s">
        <v>115</v>
      </c>
      <c r="Y137" s="4" t="s">
        <v>111</v>
      </c>
      <c r="Z137" s="4" t="s">
        <v>96</v>
      </c>
      <c r="AA137" s="4" t="s">
        <v>96</v>
      </c>
      <c r="AB137" s="4" t="s">
        <v>112</v>
      </c>
      <c r="AC137" s="4" t="s">
        <v>112</v>
      </c>
      <c r="AD137" s="4" t="s">
        <v>113</v>
      </c>
      <c r="AE137" s="4" t="s">
        <v>114</v>
      </c>
      <c r="AF137" s="4" t="s">
        <v>54</v>
      </c>
      <c r="AG137" s="5" t="s">
        <v>96</v>
      </c>
      <c r="AH137" s="4" t="s">
        <v>115</v>
      </c>
      <c r="AK137" s="4">
        <v>1</v>
      </c>
      <c r="AL137" s="4">
        <v>0</v>
      </c>
    </row>
    <row r="138" spans="1:38" x14ac:dyDescent="0.25">
      <c r="A138" s="4" t="s">
        <v>115</v>
      </c>
      <c r="B138" s="4">
        <v>246</v>
      </c>
      <c r="C138" s="4" t="s">
        <v>474</v>
      </c>
      <c r="D138" s="4" t="s">
        <v>115</v>
      </c>
      <c r="E138" s="4" t="s">
        <v>473</v>
      </c>
      <c r="F138" s="4" t="s">
        <v>115</v>
      </c>
      <c r="G138" s="4" t="s">
        <v>115</v>
      </c>
      <c r="H138" s="4" t="s">
        <v>115</v>
      </c>
      <c r="I138" s="4">
        <v>22</v>
      </c>
      <c r="J138" s="4">
        <f>B138*I138</f>
        <v>5412</v>
      </c>
      <c r="K138" s="4" t="s">
        <v>107</v>
      </c>
      <c r="L138" s="4" t="s">
        <v>115</v>
      </c>
      <c r="P138" s="4">
        <v>3</v>
      </c>
      <c r="R138" s="4" t="s">
        <v>603</v>
      </c>
      <c r="S138" s="4" t="s">
        <v>115</v>
      </c>
      <c r="T138" s="4" t="s">
        <v>110</v>
      </c>
      <c r="U138" s="14">
        <v>0</v>
      </c>
      <c r="V138" s="4" t="s">
        <v>45</v>
      </c>
      <c r="W138" s="4">
        <v>2</v>
      </c>
      <c r="X138" s="4" t="s">
        <v>115</v>
      </c>
      <c r="Y138" s="4" t="s">
        <v>111</v>
      </c>
      <c r="Z138" s="4" t="s">
        <v>96</v>
      </c>
      <c r="AA138" s="4" t="s">
        <v>96</v>
      </c>
      <c r="AB138" s="4" t="s">
        <v>112</v>
      </c>
      <c r="AC138" s="4" t="s">
        <v>112</v>
      </c>
      <c r="AD138" s="4" t="s">
        <v>113</v>
      </c>
      <c r="AE138" s="4" t="s">
        <v>114</v>
      </c>
      <c r="AF138" s="4" t="s">
        <v>54</v>
      </c>
      <c r="AG138" s="5" t="s">
        <v>96</v>
      </c>
      <c r="AH138" s="4" t="s">
        <v>115</v>
      </c>
      <c r="AK138" s="4">
        <v>0</v>
      </c>
      <c r="AL138" s="4">
        <v>0</v>
      </c>
    </row>
    <row r="139" spans="1:38" x14ac:dyDescent="0.25">
      <c r="A139" s="4" t="s">
        <v>115</v>
      </c>
      <c r="B139" s="4">
        <v>1160</v>
      </c>
      <c r="C139" s="4" t="s">
        <v>456</v>
      </c>
      <c r="D139" s="4" t="s">
        <v>115</v>
      </c>
      <c r="E139" s="4" t="s">
        <v>457</v>
      </c>
      <c r="F139" s="4" t="s">
        <v>115</v>
      </c>
      <c r="G139" s="4" t="s">
        <v>391</v>
      </c>
      <c r="H139" s="4">
        <v>2025</v>
      </c>
      <c r="I139" s="4">
        <v>9.5</v>
      </c>
      <c r="J139" s="11">
        <f>B139*I139</f>
        <v>11020</v>
      </c>
      <c r="K139" s="11" t="s">
        <v>107</v>
      </c>
      <c r="L139" s="4" t="s">
        <v>448</v>
      </c>
      <c r="N139" s="4" t="s">
        <v>449</v>
      </c>
      <c r="O139" s="4">
        <v>84</v>
      </c>
      <c r="P139" s="4">
        <v>6</v>
      </c>
      <c r="Q139" s="4">
        <f>O139*P139</f>
        <v>504</v>
      </c>
      <c r="R139" s="4" t="s">
        <v>603</v>
      </c>
      <c r="S139" s="4" t="s">
        <v>115</v>
      </c>
      <c r="T139" s="4" t="s">
        <v>392</v>
      </c>
      <c r="U139" s="14">
        <v>0</v>
      </c>
      <c r="V139" s="4" t="s">
        <v>45</v>
      </c>
      <c r="W139" s="4" t="s">
        <v>393</v>
      </c>
      <c r="X139" s="4" t="s">
        <v>54</v>
      </c>
      <c r="Y139" s="4" t="s">
        <v>111</v>
      </c>
      <c r="Z139" s="4" t="s">
        <v>96</v>
      </c>
      <c r="AA139" s="4" t="s">
        <v>96</v>
      </c>
      <c r="AB139" s="4" t="s">
        <v>394</v>
      </c>
      <c r="AC139" s="4" t="s">
        <v>395</v>
      </c>
      <c r="AD139" s="4" t="s">
        <v>333</v>
      </c>
      <c r="AE139" s="4" t="s">
        <v>114</v>
      </c>
      <c r="AF139" s="4" t="s">
        <v>115</v>
      </c>
      <c r="AG139" s="5" t="s">
        <v>96</v>
      </c>
      <c r="AH139" s="4" t="s">
        <v>115</v>
      </c>
      <c r="AI139" s="4" t="str">
        <f>_xlfn.TEXTBEFORE(C139,"_") &amp; " (" &amp; _xlfn.TEXTAFTER(C139,"_") &amp; ")"</f>
        <v>U3S23EXPH (1160T)</v>
      </c>
      <c r="AJ139" s="4" t="str">
        <f>_xlfn.TEXTBEFORE(C139,"_") &amp; " (Vnish)"</f>
        <v>U3S23EXPH (Vnish)</v>
      </c>
      <c r="AK139" s="4">
        <v>1</v>
      </c>
      <c r="AL139" s="4">
        <v>1</v>
      </c>
    </row>
  </sheetData>
  <autoFilter ref="A1:AL139" xr:uid="{FF29655E-B9A6-4FA3-9AB2-0AF70584C122}">
    <sortState xmlns:xlrd2="http://schemas.microsoft.com/office/spreadsheetml/2017/richdata2" ref="A126:AL139">
      <sortCondition ref="B1:B139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EBF2-1DD6-4803-AFD9-273F32A344A4}">
  <sheetPr>
    <tabColor theme="9"/>
  </sheetPr>
  <dimension ref="A1:M7"/>
  <sheetViews>
    <sheetView zoomScaleNormal="100" workbookViewId="0">
      <pane ySplit="1" topLeftCell="A2" activePane="bottomLeft" state="frozen"/>
      <selection activeCell="A29525" sqref="A29525:A126430"/>
      <selection pane="bottomLeft" activeCell="A2" sqref="A2:A5"/>
    </sheetView>
  </sheetViews>
  <sheetFormatPr defaultRowHeight="15" x14ac:dyDescent="0.25"/>
  <cols>
    <col min="1" max="1" width="25.85546875" bestFit="1" customWidth="1"/>
    <col min="2" max="2" width="15.140625" bestFit="1" customWidth="1"/>
    <col min="3" max="3" width="14.140625" bestFit="1" customWidth="1"/>
    <col min="4" max="4" width="12.5703125" bestFit="1" customWidth="1"/>
    <col min="5" max="5" width="20.140625" bestFit="1" customWidth="1"/>
    <col min="6" max="6" width="16.42578125" bestFit="1" customWidth="1"/>
    <col min="7" max="7" width="26.5703125" bestFit="1" customWidth="1"/>
    <col min="8" max="8" width="11.28515625" bestFit="1" customWidth="1"/>
    <col min="9" max="9" width="13.7109375" customWidth="1"/>
    <col min="10" max="10" width="14.42578125" bestFit="1" customWidth="1"/>
    <col min="11" max="11" width="17.28515625" hidden="1" customWidth="1"/>
    <col min="12" max="12" width="13.5703125" customWidth="1"/>
  </cols>
  <sheetData>
    <row r="1" spans="1:13" s="21" customFormat="1" ht="30.75" thickBot="1" x14ac:dyDescent="0.3">
      <c r="A1" s="27" t="s">
        <v>475</v>
      </c>
      <c r="B1" s="21" t="s">
        <v>476</v>
      </c>
      <c r="C1" s="21" t="s">
        <v>3</v>
      </c>
      <c r="D1" s="21" t="s">
        <v>6</v>
      </c>
      <c r="E1" s="21" t="s">
        <v>477</v>
      </c>
      <c r="F1" s="21" t="s">
        <v>478</v>
      </c>
      <c r="G1" s="21" t="s">
        <v>479</v>
      </c>
      <c r="H1" s="21" t="s">
        <v>1</v>
      </c>
      <c r="I1" s="21" t="s">
        <v>11</v>
      </c>
      <c r="J1" s="21" t="s">
        <v>480</v>
      </c>
      <c r="K1" s="21" t="s">
        <v>481</v>
      </c>
      <c r="L1" s="21" t="s">
        <v>482</v>
      </c>
    </row>
    <row r="2" spans="1:13" x14ac:dyDescent="0.25">
      <c r="A2" s="30"/>
      <c r="B2" t="str">
        <f t="shared" ref="B2:B3" si="0">MID(A2,5,3)</f>
        <v/>
      </c>
      <c r="C2" t="str">
        <f t="shared" ref="C2:C3" si="1">MID(B2,1,2)</f>
        <v/>
      </c>
      <c r="D2" t="str">
        <f t="shared" ref="D2:D3" si="2">MID(A2,9,1)</f>
        <v/>
      </c>
      <c r="E2" t="e">
        <f>VLOOKUP(B2,'Full Chart'!A:E,3,FALSE)</f>
        <v>#N/A</v>
      </c>
      <c r="F2" t="e">
        <f>VLOOKUP(C2,'Full Chart'!D:E,2,FALSE)</f>
        <v>#N/A</v>
      </c>
      <c r="G2" t="e">
        <f t="shared" ref="G2:G3" si="3">"Antminer "&amp;F2&amp;" ("&amp;H2&amp;"T)"</f>
        <v>#N/A</v>
      </c>
      <c r="H2" t="e">
        <f>VLOOKUP(B2,'Full Chart'!A:E,2,FALSE)</f>
        <v>#N/A</v>
      </c>
      <c r="I2" t="e">
        <f>VLOOKUP(B2,'Full Chart'!A:L,12,FALSE)</f>
        <v>#N/A</v>
      </c>
      <c r="J2" t="e">
        <f>VLOOKUP(D2,'Full Chart'!G:H,2,FALSE)</f>
        <v>#N/A</v>
      </c>
      <c r="K2" t="str">
        <f t="shared" ref="K2:K3" si="4">MID(A2,17,4)</f>
        <v/>
      </c>
      <c r="L2" t="str">
        <f>MID(A2,7,1)</f>
        <v/>
      </c>
      <c r="M2" t="s">
        <v>483</v>
      </c>
    </row>
    <row r="3" spans="1:13" ht="18" x14ac:dyDescent="0.25">
      <c r="A3" s="31"/>
      <c r="B3" t="str">
        <f t="shared" si="0"/>
        <v/>
      </c>
      <c r="C3" t="str">
        <f t="shared" si="1"/>
        <v/>
      </c>
      <c r="D3" t="str">
        <f t="shared" si="2"/>
        <v/>
      </c>
      <c r="E3" t="e">
        <f>VLOOKUP(B3,'Full Chart'!A:E,3,FALSE)</f>
        <v>#N/A</v>
      </c>
      <c r="F3" t="e">
        <f>VLOOKUP(C3,'Full Chart'!D:E,2,FALSE)</f>
        <v>#N/A</v>
      </c>
      <c r="G3" t="e">
        <f t="shared" si="3"/>
        <v>#N/A</v>
      </c>
      <c r="H3" t="e">
        <f>VLOOKUP(B3,'Full Chart'!A:E,2,FALSE)</f>
        <v>#N/A</v>
      </c>
      <c r="I3" t="e">
        <f>VLOOKUP(B3,'Full Chart'!A:L,12,FALSE)</f>
        <v>#N/A</v>
      </c>
      <c r="J3" t="e">
        <f>VLOOKUP(D3,'Full Chart'!G:H,2,FALSE)</f>
        <v>#N/A</v>
      </c>
      <c r="K3" t="str">
        <f t="shared" si="4"/>
        <v/>
      </c>
      <c r="L3" t="str">
        <f t="shared" ref="L3" si="5">MID(A3,7,1)</f>
        <v/>
      </c>
      <c r="M3" t="s">
        <v>484</v>
      </c>
    </row>
    <row r="4" spans="1:13" ht="18" x14ac:dyDescent="0.25">
      <c r="A4" s="31"/>
      <c r="B4" t="str">
        <f t="shared" ref="B4:B5" si="6">MID(A4,5,3)</f>
        <v/>
      </c>
      <c r="C4" t="str">
        <f t="shared" ref="C4:C5" si="7">MID(B4,1,2)</f>
        <v/>
      </c>
      <c r="D4" t="str">
        <f t="shared" ref="D4:D5" si="8">MID(A4,9,1)</f>
        <v/>
      </c>
      <c r="E4" t="e">
        <f>VLOOKUP(B4,'Full Chart'!A:E,3,FALSE)</f>
        <v>#N/A</v>
      </c>
      <c r="F4" t="e">
        <f>VLOOKUP(C4,'Full Chart'!D:E,2,FALSE)</f>
        <v>#N/A</v>
      </c>
      <c r="G4" t="e">
        <f t="shared" ref="G4:G5" si="9">"Antminer "&amp;F4&amp;" ("&amp;H4&amp;"T)"</f>
        <v>#N/A</v>
      </c>
      <c r="H4" t="e">
        <f>VLOOKUP(B4,'Full Chart'!A:E,2,FALSE)</f>
        <v>#N/A</v>
      </c>
      <c r="I4" t="e">
        <f>VLOOKUP(B4,'Full Chart'!A:L,12,FALSE)</f>
        <v>#N/A</v>
      </c>
      <c r="J4" t="e">
        <f>VLOOKUP(D4,'Full Chart'!G:H,2,FALSE)</f>
        <v>#N/A</v>
      </c>
      <c r="K4" t="str">
        <f t="shared" ref="K4:K5" si="10">MID(A4,17,4)</f>
        <v/>
      </c>
      <c r="L4" t="str">
        <f t="shared" ref="L4:L5" si="11">MID(A4,7,1)</f>
        <v/>
      </c>
      <c r="M4" t="s">
        <v>485</v>
      </c>
    </row>
    <row r="5" spans="1:13" ht="18" x14ac:dyDescent="0.25">
      <c r="A5" s="31"/>
      <c r="B5" t="str">
        <f t="shared" si="6"/>
        <v/>
      </c>
      <c r="C5" t="str">
        <f t="shared" si="7"/>
        <v/>
      </c>
      <c r="D5" t="str">
        <f t="shared" si="8"/>
        <v/>
      </c>
      <c r="E5" t="e">
        <f>VLOOKUP(B5,'Full Chart'!A:E,3,FALSE)</f>
        <v>#N/A</v>
      </c>
      <c r="F5" t="e">
        <f>VLOOKUP(C5,'Full Chart'!D:E,2,FALSE)</f>
        <v>#N/A</v>
      </c>
      <c r="G5" t="e">
        <f t="shared" si="9"/>
        <v>#N/A</v>
      </c>
      <c r="H5" t="e">
        <f>VLOOKUP(B5,'Full Chart'!A:E,2,FALSE)</f>
        <v>#N/A</v>
      </c>
      <c r="I5" t="e">
        <f>VLOOKUP(B5,'Full Chart'!A:L,12,FALSE)</f>
        <v>#N/A</v>
      </c>
      <c r="J5" t="e">
        <f>VLOOKUP(D5,'Full Chart'!G:H,2,FALSE)</f>
        <v>#N/A</v>
      </c>
      <c r="K5" t="str">
        <f t="shared" si="10"/>
        <v/>
      </c>
      <c r="L5" t="str">
        <f t="shared" si="11"/>
        <v/>
      </c>
      <c r="M5" t="s">
        <v>486</v>
      </c>
    </row>
    <row r="7" spans="1:13" ht="18" x14ac:dyDescent="0.25">
      <c r="A7" s="31"/>
    </row>
  </sheetData>
  <autoFilter ref="A1:L5" xr:uid="{4C60EBF2-1DD6-4803-AFD9-273F32A344A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4283-F173-437C-9B8B-347113EF393A}">
  <sheetPr>
    <tabColor theme="9"/>
  </sheetPr>
  <dimension ref="B2:Y31"/>
  <sheetViews>
    <sheetView tabSelected="1" workbookViewId="0">
      <selection activeCell="K27" sqref="A27:K27"/>
    </sheetView>
  </sheetViews>
  <sheetFormatPr defaultRowHeight="15" x14ac:dyDescent="0.25"/>
  <cols>
    <col min="2" max="2" width="16.42578125" customWidth="1"/>
    <col min="3" max="4" width="13.28515625" bestFit="1" customWidth="1"/>
    <col min="5" max="6" width="11.5703125" bestFit="1" customWidth="1"/>
    <col min="7" max="8" width="17" customWidth="1"/>
    <col min="9" max="9" width="16.5703125" bestFit="1" customWidth="1"/>
    <col min="11" max="11" width="87.140625" bestFit="1" customWidth="1"/>
    <col min="14" max="14" width="14.42578125" bestFit="1" customWidth="1"/>
    <col min="15" max="15" width="12.42578125" bestFit="1" customWidth="1"/>
    <col min="16" max="16" width="18.5703125" bestFit="1" customWidth="1"/>
    <col min="17" max="17" width="16.5703125" bestFit="1" customWidth="1"/>
    <col min="20" max="20" width="16.140625" bestFit="1" customWidth="1"/>
  </cols>
  <sheetData>
    <row r="2" spans="2:25" x14ac:dyDescent="0.25">
      <c r="B2" s="34" t="s">
        <v>488</v>
      </c>
      <c r="C2" s="35"/>
      <c r="D2" s="35"/>
      <c r="E2" s="35"/>
      <c r="F2" s="35"/>
      <c r="G2" s="35"/>
      <c r="H2" s="35"/>
      <c r="I2" s="36"/>
      <c r="L2" s="34" t="s">
        <v>489</v>
      </c>
      <c r="M2" s="35"/>
      <c r="N2" s="35"/>
      <c r="O2" s="35"/>
      <c r="P2" s="35"/>
      <c r="Q2" s="36"/>
      <c r="T2" s="37" t="s">
        <v>583</v>
      </c>
      <c r="U2" s="37"/>
      <c r="V2" s="37"/>
      <c r="W2" s="37"/>
      <c r="X2" s="37"/>
      <c r="Y2" s="37"/>
    </row>
    <row r="3" spans="2:25" x14ac:dyDescent="0.25">
      <c r="B3" s="3" t="s">
        <v>490</v>
      </c>
      <c r="C3" s="9" t="s">
        <v>491</v>
      </c>
      <c r="D3" s="3" t="s">
        <v>492</v>
      </c>
      <c r="E3" s="3" t="s">
        <v>1</v>
      </c>
      <c r="F3" s="3" t="s">
        <v>493</v>
      </c>
      <c r="G3" s="3" t="s">
        <v>494</v>
      </c>
      <c r="H3" s="3" t="s">
        <v>495</v>
      </c>
      <c r="I3" s="3" t="s">
        <v>496</v>
      </c>
      <c r="K3" t="s">
        <v>483</v>
      </c>
      <c r="L3" s="3" t="s">
        <v>490</v>
      </c>
      <c r="M3" s="3" t="s">
        <v>491</v>
      </c>
      <c r="N3" s="3" t="s">
        <v>492</v>
      </c>
      <c r="O3" s="3" t="s">
        <v>493</v>
      </c>
      <c r="P3" s="3" t="s">
        <v>494</v>
      </c>
      <c r="Q3" s="3" t="s">
        <v>496</v>
      </c>
      <c r="T3" s="3">
        <v>1000</v>
      </c>
      <c r="U3" s="3" t="s">
        <v>573</v>
      </c>
      <c r="V3" s="3" t="s">
        <v>487</v>
      </c>
      <c r="W3" s="3" t="s">
        <v>574</v>
      </c>
      <c r="X3" s="3" t="s">
        <v>575</v>
      </c>
      <c r="Y3" s="3" t="s">
        <v>576</v>
      </c>
    </row>
    <row r="4" spans="2:25" x14ac:dyDescent="0.25">
      <c r="B4" s="32" t="s">
        <v>497</v>
      </c>
      <c r="C4" s="3" t="s">
        <v>498</v>
      </c>
      <c r="D4" s="2" t="s">
        <v>499</v>
      </c>
      <c r="E4" s="3" t="s">
        <v>500</v>
      </c>
      <c r="F4" s="1" t="s">
        <v>501</v>
      </c>
      <c r="G4" s="9" t="s">
        <v>502</v>
      </c>
      <c r="H4" s="2" t="s">
        <v>503</v>
      </c>
      <c r="I4" s="2" t="s">
        <v>504</v>
      </c>
      <c r="K4" t="s">
        <v>505</v>
      </c>
      <c r="L4" s="9" t="s">
        <v>497</v>
      </c>
      <c r="M4" s="9" t="s">
        <v>498</v>
      </c>
      <c r="N4" s="3" t="s">
        <v>506</v>
      </c>
      <c r="O4" s="1" t="s">
        <v>501</v>
      </c>
      <c r="P4" s="3" t="s">
        <v>502</v>
      </c>
      <c r="Q4" s="2" t="s">
        <v>507</v>
      </c>
      <c r="T4" s="4">
        <v>1000</v>
      </c>
      <c r="U4" s="4">
        <v>5</v>
      </c>
      <c r="V4" s="25">
        <f t="shared" ref="V4:V23" si="0">T4/U4</f>
        <v>200</v>
      </c>
      <c r="W4" s="4">
        <v>5.6000000000000001E-2</v>
      </c>
      <c r="X4" s="4">
        <v>24</v>
      </c>
      <c r="Y4" s="23">
        <f t="shared" ref="Y4:Y23" si="1">V4*W4/X4</f>
        <v>0.46666666666666673</v>
      </c>
    </row>
    <row r="5" spans="2:25" ht="15" customHeight="1" x14ac:dyDescent="0.25">
      <c r="B5" s="38" t="s">
        <v>508</v>
      </c>
      <c r="C5" s="4" t="s">
        <v>577</v>
      </c>
      <c r="D5" s="13">
        <v>67</v>
      </c>
      <c r="E5" s="4" t="s">
        <v>160</v>
      </c>
      <c r="F5" s="7" t="s">
        <v>229</v>
      </c>
      <c r="G5" s="9" t="s">
        <v>510</v>
      </c>
      <c r="H5" s="33" t="s">
        <v>38</v>
      </c>
      <c r="I5" s="8" t="s">
        <v>511</v>
      </c>
      <c r="K5" t="s">
        <v>512</v>
      </c>
      <c r="L5" s="38" t="s">
        <v>508</v>
      </c>
      <c r="M5" s="9" t="s">
        <v>513</v>
      </c>
      <c r="N5" s="22" t="s">
        <v>514</v>
      </c>
      <c r="O5" s="7" t="s">
        <v>229</v>
      </c>
      <c r="P5" s="4" t="s">
        <v>510</v>
      </c>
      <c r="Q5" s="8" t="s">
        <v>515</v>
      </c>
      <c r="T5" s="4">
        <v>1000</v>
      </c>
      <c r="U5" s="4">
        <v>10</v>
      </c>
      <c r="V5" s="25">
        <f t="shared" si="0"/>
        <v>100</v>
      </c>
      <c r="W5" s="4">
        <v>5.6000000000000001E-2</v>
      </c>
      <c r="X5" s="4">
        <v>24</v>
      </c>
      <c r="Y5" s="23">
        <f t="shared" si="1"/>
        <v>0.23333333333333336</v>
      </c>
    </row>
    <row r="6" spans="2:25" x14ac:dyDescent="0.25">
      <c r="B6" s="39"/>
      <c r="C6" s="4" t="s">
        <v>578</v>
      </c>
      <c r="D6" s="13">
        <v>68</v>
      </c>
      <c r="E6" s="4" t="s">
        <v>229</v>
      </c>
      <c r="G6" s="4" t="s">
        <v>38</v>
      </c>
      <c r="H6" s="8" t="s">
        <v>160</v>
      </c>
      <c r="K6" t="s">
        <v>517</v>
      </c>
      <c r="L6" s="39"/>
      <c r="M6" s="4" t="s">
        <v>518</v>
      </c>
      <c r="N6" s="10">
        <v>313</v>
      </c>
      <c r="P6" s="4" t="s">
        <v>38</v>
      </c>
      <c r="T6" s="4">
        <v>1000</v>
      </c>
      <c r="U6" s="4">
        <v>15</v>
      </c>
      <c r="V6" s="25">
        <f t="shared" si="0"/>
        <v>66.666666666666671</v>
      </c>
      <c r="W6" s="4">
        <v>5.6000000000000001E-2</v>
      </c>
      <c r="X6" s="4">
        <v>24</v>
      </c>
      <c r="Y6" s="23">
        <f t="shared" si="1"/>
        <v>0.15555555555555559</v>
      </c>
    </row>
    <row r="7" spans="2:25" x14ac:dyDescent="0.25">
      <c r="B7" s="39"/>
      <c r="C7" s="4" t="s">
        <v>579</v>
      </c>
      <c r="D7" s="10" t="s">
        <v>520</v>
      </c>
      <c r="E7" s="4" t="s">
        <v>76</v>
      </c>
      <c r="G7" s="4" t="s">
        <v>160</v>
      </c>
      <c r="K7" t="s">
        <v>521</v>
      </c>
      <c r="L7" s="39"/>
      <c r="M7" s="4" t="s">
        <v>522</v>
      </c>
      <c r="N7" s="10">
        <v>318</v>
      </c>
      <c r="P7" s="4" t="s">
        <v>160</v>
      </c>
      <c r="T7" s="4">
        <v>1000</v>
      </c>
      <c r="U7" s="4">
        <v>20</v>
      </c>
      <c r="V7" s="25">
        <f t="shared" si="0"/>
        <v>50</v>
      </c>
      <c r="W7" s="4">
        <v>5.6000000000000001E-2</v>
      </c>
      <c r="X7" s="4">
        <v>24</v>
      </c>
      <c r="Y7" s="23">
        <f t="shared" si="1"/>
        <v>0.11666666666666668</v>
      </c>
    </row>
    <row r="8" spans="2:25" x14ac:dyDescent="0.25">
      <c r="B8" s="39"/>
      <c r="C8" s="4" t="s">
        <v>509</v>
      </c>
      <c r="D8" s="10" t="s">
        <v>524</v>
      </c>
      <c r="E8" s="4" t="s">
        <v>106</v>
      </c>
      <c r="G8" s="4" t="s">
        <v>229</v>
      </c>
      <c r="K8" t="s">
        <v>525</v>
      </c>
      <c r="L8" s="39"/>
      <c r="M8" s="4" t="s">
        <v>526</v>
      </c>
      <c r="N8" s="10">
        <v>316</v>
      </c>
      <c r="P8" s="4" t="s">
        <v>229</v>
      </c>
      <c r="T8" s="4">
        <v>1000</v>
      </c>
      <c r="U8" s="4">
        <v>25</v>
      </c>
      <c r="V8" s="25">
        <f t="shared" si="0"/>
        <v>40</v>
      </c>
      <c r="W8" s="4">
        <v>5.6000000000000001E-2</v>
      </c>
      <c r="X8" s="4">
        <v>24</v>
      </c>
      <c r="Y8" s="23">
        <f t="shared" si="1"/>
        <v>9.3333333333333338E-2</v>
      </c>
    </row>
    <row r="9" spans="2:25" x14ac:dyDescent="0.25">
      <c r="B9" s="39"/>
      <c r="C9" s="4" t="s">
        <v>580</v>
      </c>
      <c r="D9" s="10" t="s">
        <v>528</v>
      </c>
      <c r="E9" s="4" t="s">
        <v>391</v>
      </c>
      <c r="G9" s="4" t="s">
        <v>76</v>
      </c>
      <c r="K9" t="s">
        <v>529</v>
      </c>
      <c r="L9" s="39"/>
      <c r="M9" s="5" t="s">
        <v>530</v>
      </c>
      <c r="N9" s="10">
        <v>324</v>
      </c>
      <c r="P9" s="4" t="s">
        <v>76</v>
      </c>
      <c r="T9" s="4">
        <v>1000</v>
      </c>
      <c r="U9" s="4">
        <v>30</v>
      </c>
      <c r="V9" s="25">
        <f t="shared" si="0"/>
        <v>33.333333333333336</v>
      </c>
      <c r="W9" s="4">
        <v>5.6000000000000001E-2</v>
      </c>
      <c r="X9" s="4">
        <v>24</v>
      </c>
      <c r="Y9" s="23">
        <f t="shared" si="1"/>
        <v>7.7777777777777793E-2</v>
      </c>
    </row>
    <row r="10" spans="2:25" x14ac:dyDescent="0.25">
      <c r="B10" s="39"/>
      <c r="C10" s="4" t="s">
        <v>516</v>
      </c>
      <c r="D10" s="10" t="s">
        <v>532</v>
      </c>
      <c r="E10" s="6" t="s">
        <v>533</v>
      </c>
      <c r="G10" s="4" t="s">
        <v>106</v>
      </c>
      <c r="L10" s="39"/>
      <c r="M10" s="4"/>
      <c r="N10">
        <v>323</v>
      </c>
      <c r="P10" s="4" t="s">
        <v>106</v>
      </c>
      <c r="T10" s="4">
        <v>1000</v>
      </c>
      <c r="U10" s="4">
        <v>35</v>
      </c>
      <c r="V10" s="25">
        <f t="shared" si="0"/>
        <v>28.571428571428573</v>
      </c>
      <c r="W10" s="4">
        <v>5.6000000000000001E-2</v>
      </c>
      <c r="X10" s="4">
        <v>24</v>
      </c>
      <c r="Y10" s="23">
        <f t="shared" si="1"/>
        <v>6.6666666666666666E-2</v>
      </c>
    </row>
    <row r="11" spans="2:25" x14ac:dyDescent="0.25">
      <c r="B11" s="39"/>
      <c r="C11" s="4" t="s">
        <v>519</v>
      </c>
      <c r="D11" s="10" t="s">
        <v>535</v>
      </c>
      <c r="G11" s="4" t="s">
        <v>391</v>
      </c>
      <c r="L11" s="39"/>
      <c r="M11" s="4"/>
      <c r="N11" s="10">
        <v>324</v>
      </c>
      <c r="P11" s="6" t="s">
        <v>391</v>
      </c>
      <c r="T11" s="4">
        <v>1000</v>
      </c>
      <c r="U11" s="4">
        <v>40</v>
      </c>
      <c r="V11" s="25">
        <f t="shared" si="0"/>
        <v>25</v>
      </c>
      <c r="W11" s="4">
        <v>5.6000000000000001E-2</v>
      </c>
      <c r="X11" s="4">
        <v>24</v>
      </c>
      <c r="Y11" s="23">
        <f t="shared" si="1"/>
        <v>5.8333333333333341E-2</v>
      </c>
    </row>
    <row r="12" spans="2:25" x14ac:dyDescent="0.25">
      <c r="B12" s="39"/>
      <c r="C12" s="4" t="s">
        <v>523</v>
      </c>
      <c r="D12" s="10" t="s">
        <v>537</v>
      </c>
      <c r="G12" s="6" t="s">
        <v>533</v>
      </c>
      <c r="L12" s="39"/>
      <c r="M12" s="4"/>
      <c r="N12" s="10">
        <v>329</v>
      </c>
      <c r="T12" s="4">
        <v>1000</v>
      </c>
      <c r="U12" s="4">
        <v>45</v>
      </c>
      <c r="V12" s="25">
        <f t="shared" si="0"/>
        <v>22.222222222222221</v>
      </c>
      <c r="W12" s="4">
        <v>5.6000000000000001E-2</v>
      </c>
      <c r="X12" s="4">
        <v>24</v>
      </c>
      <c r="Y12" s="23">
        <f t="shared" si="1"/>
        <v>5.185185185185185E-2</v>
      </c>
    </row>
    <row r="13" spans="2:25" x14ac:dyDescent="0.25">
      <c r="B13" s="39"/>
      <c r="C13" s="5" t="s">
        <v>527</v>
      </c>
      <c r="D13" s="10" t="s">
        <v>539</v>
      </c>
      <c r="L13" s="39"/>
      <c r="M13" s="4"/>
      <c r="N13" s="10">
        <v>335</v>
      </c>
      <c r="P13" s="9" t="s">
        <v>540</v>
      </c>
      <c r="T13" s="4">
        <v>1000</v>
      </c>
      <c r="U13" s="4">
        <v>50</v>
      </c>
      <c r="V13" s="25">
        <f t="shared" si="0"/>
        <v>20</v>
      </c>
      <c r="W13" s="4">
        <v>5.6000000000000001E-2</v>
      </c>
      <c r="X13" s="4">
        <v>24</v>
      </c>
      <c r="Y13" s="23">
        <f t="shared" si="1"/>
        <v>4.6666666666666669E-2</v>
      </c>
    </row>
    <row r="14" spans="2:25" x14ac:dyDescent="0.25">
      <c r="B14" s="39"/>
      <c r="C14" s="4" t="s">
        <v>531</v>
      </c>
      <c r="D14" s="10" t="s">
        <v>542</v>
      </c>
      <c r="E14" s="12"/>
      <c r="G14" s="9" t="s">
        <v>540</v>
      </c>
      <c r="L14" s="39"/>
      <c r="M14" s="4"/>
      <c r="N14" s="10">
        <v>347</v>
      </c>
      <c r="P14" s="4" t="s">
        <v>543</v>
      </c>
      <c r="T14" s="4">
        <v>1000</v>
      </c>
      <c r="U14" s="4">
        <v>55</v>
      </c>
      <c r="V14" s="25">
        <f t="shared" si="0"/>
        <v>18.181818181818183</v>
      </c>
      <c r="W14" s="4">
        <v>5.6000000000000001E-2</v>
      </c>
      <c r="X14" s="4">
        <v>24</v>
      </c>
      <c r="Y14" s="23">
        <f t="shared" si="1"/>
        <v>4.2424242424242427E-2</v>
      </c>
    </row>
    <row r="15" spans="2:25" x14ac:dyDescent="0.25">
      <c r="B15" s="39"/>
      <c r="C15" s="4" t="s">
        <v>534</v>
      </c>
      <c r="D15" s="10" t="s">
        <v>545</v>
      </c>
      <c r="G15" s="4" t="s">
        <v>543</v>
      </c>
      <c r="L15" s="39"/>
      <c r="M15" s="4"/>
      <c r="N15" s="10">
        <v>380</v>
      </c>
      <c r="P15" s="4" t="s">
        <v>546</v>
      </c>
      <c r="T15" s="4">
        <v>1000</v>
      </c>
      <c r="U15" s="4">
        <v>60</v>
      </c>
      <c r="V15" s="25">
        <f t="shared" si="0"/>
        <v>16.666666666666668</v>
      </c>
      <c r="W15" s="4">
        <v>5.6000000000000001E-2</v>
      </c>
      <c r="X15" s="4">
        <v>24</v>
      </c>
      <c r="Y15" s="23">
        <f t="shared" si="1"/>
        <v>3.8888888888888896E-2</v>
      </c>
    </row>
    <row r="16" spans="2:25" x14ac:dyDescent="0.25">
      <c r="B16" s="39"/>
      <c r="C16" s="4" t="s">
        <v>536</v>
      </c>
      <c r="D16" s="10" t="s">
        <v>548</v>
      </c>
      <c r="G16" s="4" t="s">
        <v>546</v>
      </c>
      <c r="L16" s="39"/>
      <c r="M16" s="4"/>
      <c r="N16" s="10">
        <v>381</v>
      </c>
      <c r="P16" s="4" t="s">
        <v>549</v>
      </c>
      <c r="T16" s="4">
        <v>1000</v>
      </c>
      <c r="U16" s="4">
        <v>65</v>
      </c>
      <c r="V16" s="25">
        <f t="shared" si="0"/>
        <v>15.384615384615385</v>
      </c>
      <c r="W16" s="4">
        <v>5.6000000000000001E-2</v>
      </c>
      <c r="X16" s="4">
        <v>24</v>
      </c>
      <c r="Y16" s="23">
        <f t="shared" si="1"/>
        <v>3.5897435897435902E-2</v>
      </c>
    </row>
    <row r="17" spans="2:25" x14ac:dyDescent="0.25">
      <c r="B17" s="39"/>
      <c r="C17" s="4" t="s">
        <v>538</v>
      </c>
      <c r="D17" s="10" t="s">
        <v>551</v>
      </c>
      <c r="G17" s="4" t="s">
        <v>549</v>
      </c>
      <c r="L17" s="39"/>
      <c r="M17" s="4"/>
      <c r="N17" s="10"/>
      <c r="P17" s="4" t="s">
        <v>552</v>
      </c>
      <c r="T17" s="4">
        <v>1000</v>
      </c>
      <c r="U17" s="4">
        <v>70</v>
      </c>
      <c r="V17" s="25">
        <f t="shared" si="0"/>
        <v>14.285714285714286</v>
      </c>
      <c r="W17" s="4">
        <v>5.6000000000000001E-2</v>
      </c>
      <c r="X17" s="4">
        <v>24</v>
      </c>
      <c r="Y17" s="23">
        <f t="shared" si="1"/>
        <v>3.3333333333333333E-2</v>
      </c>
    </row>
    <row r="18" spans="2:25" x14ac:dyDescent="0.25">
      <c r="B18" s="39"/>
      <c r="C18" s="4" t="s">
        <v>541</v>
      </c>
      <c r="D18" s="10" t="s">
        <v>554</v>
      </c>
      <c r="G18" s="4" t="s">
        <v>552</v>
      </c>
      <c r="L18" s="39"/>
      <c r="M18" s="4"/>
      <c r="N18" s="10"/>
      <c r="P18" s="4" t="s">
        <v>555</v>
      </c>
      <c r="T18" s="4">
        <v>1000</v>
      </c>
      <c r="U18" s="4">
        <v>75</v>
      </c>
      <c r="V18" s="25">
        <f t="shared" si="0"/>
        <v>13.333333333333334</v>
      </c>
      <c r="W18" s="4">
        <v>5.6000000000000001E-2</v>
      </c>
      <c r="X18" s="4">
        <v>24</v>
      </c>
      <c r="Y18" s="23">
        <f t="shared" si="1"/>
        <v>3.1111111111111114E-2</v>
      </c>
    </row>
    <row r="19" spans="2:25" x14ac:dyDescent="0.25">
      <c r="B19" s="39"/>
      <c r="C19" s="4" t="s">
        <v>582</v>
      </c>
      <c r="D19" s="10" t="s">
        <v>557</v>
      </c>
      <c r="G19" s="4" t="s">
        <v>555</v>
      </c>
      <c r="L19" s="39"/>
      <c r="M19" s="4"/>
      <c r="N19" s="10"/>
      <c r="P19" s="6" t="s">
        <v>558</v>
      </c>
      <c r="T19" s="4">
        <v>1000</v>
      </c>
      <c r="U19" s="4">
        <v>80</v>
      </c>
      <c r="V19" s="25">
        <f t="shared" si="0"/>
        <v>12.5</v>
      </c>
      <c r="W19" s="4">
        <v>5.6000000000000001E-2</v>
      </c>
      <c r="X19" s="4">
        <v>24</v>
      </c>
      <c r="Y19" s="23">
        <f t="shared" si="1"/>
        <v>2.9166666666666671E-2</v>
      </c>
    </row>
    <row r="20" spans="2:25" x14ac:dyDescent="0.25">
      <c r="B20" s="39"/>
      <c r="C20" s="4" t="s">
        <v>544</v>
      </c>
      <c r="D20" s="10" t="s">
        <v>560</v>
      </c>
      <c r="G20" s="4" t="s">
        <v>558</v>
      </c>
      <c r="L20" s="39"/>
      <c r="M20" s="4"/>
      <c r="N20" s="10"/>
      <c r="T20" s="4">
        <v>1000</v>
      </c>
      <c r="U20" s="4">
        <v>85</v>
      </c>
      <c r="V20" s="25">
        <f t="shared" si="0"/>
        <v>11.764705882352942</v>
      </c>
      <c r="W20" s="4">
        <v>5.6000000000000001E-2</v>
      </c>
      <c r="X20" s="4">
        <v>24</v>
      </c>
      <c r="Y20" s="23">
        <f t="shared" si="1"/>
        <v>2.7450980392156866E-2</v>
      </c>
    </row>
    <row r="21" spans="2:25" x14ac:dyDescent="0.25">
      <c r="B21" s="39"/>
      <c r="C21" s="4" t="s">
        <v>547</v>
      </c>
      <c r="D21" s="10" t="s">
        <v>562</v>
      </c>
      <c r="G21" s="6" t="s">
        <v>581</v>
      </c>
      <c r="L21" s="39"/>
      <c r="M21" s="4"/>
      <c r="N21" s="10"/>
      <c r="T21" s="4">
        <v>1000</v>
      </c>
      <c r="U21" s="4">
        <v>90</v>
      </c>
      <c r="V21" s="25">
        <f t="shared" si="0"/>
        <v>11.111111111111111</v>
      </c>
      <c r="W21" s="4">
        <v>5.6000000000000001E-2</v>
      </c>
      <c r="X21" s="4">
        <v>24</v>
      </c>
      <c r="Y21" s="23">
        <f t="shared" si="1"/>
        <v>2.5925925925925925E-2</v>
      </c>
    </row>
    <row r="22" spans="2:25" x14ac:dyDescent="0.25">
      <c r="B22" s="40"/>
      <c r="C22" s="4" t="s">
        <v>550</v>
      </c>
      <c r="D22" s="10" t="s">
        <v>563</v>
      </c>
      <c r="L22" s="40"/>
      <c r="M22" s="6"/>
      <c r="N22" s="10"/>
      <c r="T22" s="4">
        <v>1000</v>
      </c>
      <c r="U22" s="4">
        <v>95</v>
      </c>
      <c r="V22" s="25">
        <f t="shared" si="0"/>
        <v>10.526315789473685</v>
      </c>
      <c r="W22" s="4">
        <v>5.6000000000000001E-2</v>
      </c>
      <c r="X22" s="4">
        <v>24</v>
      </c>
      <c r="Y22" s="23">
        <f t="shared" si="1"/>
        <v>2.4561403508771933E-2</v>
      </c>
    </row>
    <row r="23" spans="2:25" x14ac:dyDescent="0.25">
      <c r="C23" s="4" t="s">
        <v>553</v>
      </c>
      <c r="D23" s="10" t="s">
        <v>564</v>
      </c>
      <c r="N23" s="4"/>
      <c r="T23" s="6">
        <v>1000</v>
      </c>
      <c r="U23" s="6">
        <v>100</v>
      </c>
      <c r="V23" s="26">
        <f t="shared" si="0"/>
        <v>10</v>
      </c>
      <c r="W23" s="6">
        <v>5.6000000000000001E-2</v>
      </c>
      <c r="X23" s="6">
        <v>24</v>
      </c>
      <c r="Y23" s="24">
        <f t="shared" si="1"/>
        <v>2.3333333333333334E-2</v>
      </c>
    </row>
    <row r="24" spans="2:25" x14ac:dyDescent="0.25">
      <c r="C24" s="4" t="s">
        <v>556</v>
      </c>
      <c r="D24" s="10" t="s">
        <v>565</v>
      </c>
      <c r="N24" s="4"/>
    </row>
    <row r="25" spans="2:25" x14ac:dyDescent="0.25">
      <c r="C25" s="4" t="s">
        <v>559</v>
      </c>
      <c r="D25" s="10" t="s">
        <v>566</v>
      </c>
      <c r="N25" s="4"/>
    </row>
    <row r="26" spans="2:25" x14ac:dyDescent="0.25">
      <c r="C26" s="4" t="s">
        <v>561</v>
      </c>
      <c r="D26" s="10" t="s">
        <v>567</v>
      </c>
      <c r="N26" s="4"/>
    </row>
    <row r="27" spans="2:25" x14ac:dyDescent="0.25">
      <c r="C27" s="6" t="s">
        <v>513</v>
      </c>
      <c r="D27" s="4" t="s">
        <v>568</v>
      </c>
      <c r="N27" s="4"/>
    </row>
    <row r="28" spans="2:25" x14ac:dyDescent="0.25">
      <c r="D28" s="4" t="s">
        <v>569</v>
      </c>
      <c r="N28" s="4"/>
    </row>
    <row r="29" spans="2:25" x14ac:dyDescent="0.25">
      <c r="D29" s="4" t="s">
        <v>570</v>
      </c>
      <c r="N29" s="4"/>
    </row>
    <row r="30" spans="2:25" x14ac:dyDescent="0.25">
      <c r="D30" s="4" t="s">
        <v>571</v>
      </c>
      <c r="N30" s="4"/>
    </row>
    <row r="31" spans="2:25" x14ac:dyDescent="0.25">
      <c r="D31" s="6" t="s">
        <v>572</v>
      </c>
      <c r="N31" s="6"/>
    </row>
  </sheetData>
  <mergeCells count="5">
    <mergeCell ref="T2:Y2"/>
    <mergeCell ref="B2:I2"/>
    <mergeCell ref="B5:B22"/>
    <mergeCell ref="L2:Q2"/>
    <mergeCell ref="L5:L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1eabf9d-6b11-4cd8-8ce6-87e991feb0d5">
      <UserInfo>
        <DisplayName>SharingLinks.880de88b-c268-4f60-bb3a-232d6d5e0d9a.OrganizationView.f4cc5686-36a2-4121-b10e-86f09a89ff2b</DisplayName>
        <AccountId>32</AccountId>
        <AccountType/>
      </UserInfo>
      <UserInfo>
        <DisplayName>SharingLinks.4d52cf0a-f3c4-4e9f-92e5-d4aff87105b9.OrganizationEdit.d2e6a2d4-6c42-4fd1-9458-0cddad924a79</DisplayName>
        <AccountId>36</AccountId>
        <AccountType/>
      </UserInfo>
      <UserInfo>
        <DisplayName>SharingLinks.451fee74-76ca-4d33-acfa-2248cde3bd82.OrganizationView.4fcbfb62-4961-4169-bf55-7aa735531e92</DisplayName>
        <AccountId>38</AccountId>
        <AccountType/>
      </UserInfo>
      <UserInfo>
        <DisplayName>Matthew Mateer</DisplayName>
        <AccountId>43</AccountId>
        <AccountType/>
      </UserInfo>
    </SharedWithUsers>
    <TaxCatchAll xmlns="a1eabf9d-6b11-4cd8-8ce6-87e991feb0d5" xsi:nil="true"/>
    <lcf76f155ced4ddcb4097134ff3c332f xmlns="a9dcfacf-ecf8-4f97-b888-3145a83dd9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C0102D0998294D89F1EDBC9EFC3694" ma:contentTypeVersion="14" ma:contentTypeDescription="Create a new document." ma:contentTypeScope="" ma:versionID="88f0eea8fe20bd7d2bb4341f00eee03d">
  <xsd:schema xmlns:xsd="http://www.w3.org/2001/XMLSchema" xmlns:xs="http://www.w3.org/2001/XMLSchema" xmlns:p="http://schemas.microsoft.com/office/2006/metadata/properties" xmlns:ns2="a9dcfacf-ecf8-4f97-b888-3145a83dd98a" xmlns:ns3="a1eabf9d-6b11-4cd8-8ce6-87e991feb0d5" targetNamespace="http://schemas.microsoft.com/office/2006/metadata/properties" ma:root="true" ma:fieldsID="a31d0b80954a8696b038c53329cdf76d" ns2:_="" ns3:_="">
    <xsd:import namespace="a9dcfacf-ecf8-4f97-b888-3145a83dd98a"/>
    <xsd:import namespace="a1eabf9d-6b11-4cd8-8ce6-87e991feb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cfacf-ecf8-4f97-b888-3145a83dd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2391add-05b7-4d2a-a70b-d9d450e5f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abf9d-6b11-4cd8-8ce6-87e991feb0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394b9a-7930-4d61-b5c4-7d435cd1f2f5}" ma:internalName="TaxCatchAll" ma:showField="CatchAllData" ma:web="a1eabf9d-6b11-4cd8-8ce6-87e991feb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2BCFAE-25A6-4FB7-9BFF-A01BBF8EA738}">
  <ds:schemaRefs>
    <ds:schemaRef ds:uri="http://schemas.microsoft.com/office/2006/metadata/properties"/>
    <ds:schemaRef ds:uri="http://schemas.microsoft.com/office/infopath/2007/PartnerControls"/>
    <ds:schemaRef ds:uri="a1eabf9d-6b11-4cd8-8ce6-87e991feb0d5"/>
    <ds:schemaRef ds:uri="a9dcfacf-ecf8-4f97-b888-3145a83dd98a"/>
  </ds:schemaRefs>
</ds:datastoreItem>
</file>

<file path=customXml/itemProps2.xml><?xml version="1.0" encoding="utf-8"?>
<ds:datastoreItem xmlns:ds="http://schemas.openxmlformats.org/officeDocument/2006/customXml" ds:itemID="{1986F983-D3ED-49CE-874C-AACE39407E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A1357D-0ECE-45A1-8FBA-C23F446B8F4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0C6DCB8-2DA9-4D24-8CF0-4DD0C3FA5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dcfacf-ecf8-4f97-b888-3145a83dd98a"/>
    <ds:schemaRef ds:uri="a1eabf9d-6b11-4cd8-8ce6-87e991feb0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Chart</vt:lpstr>
      <vt:lpstr>Mass Import Sheet</vt:lpstr>
      <vt:lpstr>Methodology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Gunter</dc:creator>
  <cp:keywords/>
  <dc:description/>
  <cp:lastModifiedBy>Tyler Gunter</cp:lastModifiedBy>
  <cp:revision/>
  <dcterms:created xsi:type="dcterms:W3CDTF">2024-01-13T23:03:56Z</dcterms:created>
  <dcterms:modified xsi:type="dcterms:W3CDTF">2025-12-05T17:19:57Z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0x01010008C0102D0998294D89F1EDBC9EFC3694</vt:lpwstr>
  </property>
  <property fmtid="{D5CDD505-2E9C-101B-9397-08002B2CF9AE}" pid="3" name="MediaServiceImageTags">
    <vt:lpwstr/>
  </property>
</Properties>
</file>